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gs\Desktop\"/>
    </mc:Choice>
  </mc:AlternateContent>
  <xr:revisionPtr revIDLastSave="0" documentId="13_ncr:1_{00A33FEE-1A67-4301-9A3C-30817B88BE55}" xr6:coauthVersionLast="47" xr6:coauthVersionMax="47" xr10:uidLastSave="{00000000-0000-0000-0000-000000000000}"/>
  <bookViews>
    <workbookView xWindow="-108" yWindow="-108" windowWidth="23256" windowHeight="12456" tabRatio="907" xr2:uid="{CE89351C-619E-4377-9CE2-671B011DF610}"/>
  </bookViews>
  <sheets>
    <sheet name="JPP Code " sheetId="7" r:id="rId1"/>
    <sheet name="Money forecast" sheetId="35" r:id="rId2"/>
    <sheet name="Project Onhand" sheetId="20" r:id="rId3"/>
    <sheet name="PC-009 BHP" sheetId="19" state="hidden" r:id="rId4"/>
    <sheet name="PC-008 JINHAI" sheetId="18" state="hidden" r:id="rId5"/>
    <sheet name="PC-007 บ้านลาดกระบัง" sheetId="17" state="hidden" r:id="rId6"/>
    <sheet name="XP-001 งานนครนายก" sheetId="16" state="hidden" r:id="rId7"/>
    <sheet name="MC-002 Udonthani" sheetId="15" state="hidden" r:id="rId8"/>
    <sheet name="PPC-001 Nestle" sheetId="12" state="hidden" r:id="rId9"/>
    <sheet name="PC-006 JOWLE" sheetId="1" state="hidden" r:id="rId10"/>
    <sheet name="PC-005 SHIN FONG" sheetId="6" state="hidden" r:id="rId11"/>
    <sheet name="PC-004 อาคาร D" sheetId="11" state="hidden" r:id="rId12"/>
    <sheet name="ค่าใช้จ่ายออฟฟิศ" sheetId="21" r:id="rId13"/>
    <sheet name="All Job balance report" sheetId="8" r:id="rId14"/>
    <sheet name="24 POM-007" sheetId="40" r:id="rId15"/>
    <sheet name="23 TMD-006" sheetId="39" r:id="rId16"/>
    <sheet name="22 TMD-005" sheetId="38" r:id="rId17"/>
    <sheet name="21 TMD-004" sheetId="37" r:id="rId18"/>
    <sheet name="20 SOL-264 02" sheetId="34" r:id="rId19"/>
    <sheet name="15 RACH36" sheetId="33" r:id="rId20"/>
    <sheet name="14 TMD-2601-003" sheetId="32" r:id="rId21"/>
    <sheet name="13 JPP-2601-001" sheetId="31" r:id="rId22"/>
    <sheet name="12 TMD-2601-002" sheetId="30" r:id="rId23"/>
    <sheet name="11 TMD-2601-001" sheetId="29" r:id="rId24"/>
    <sheet name="10 UNT-2601-001 รพ.ภัทรเวช (2)" sheetId="28" r:id="rId25"/>
    <sheet name="09 JEP-2601-001" sheetId="27" r:id="rId26"/>
    <sheet name="08 PKE-002 ติดตั้งพัดลมระบายอาก" sheetId="26" r:id="rId27"/>
    <sheet name="07 SUT-001 บ้านห้วยขวาง" sheetId="25" r:id="rId28"/>
    <sheet name="06 UNT-001 รพ.ภัทรเวช" sheetId="24" r:id="rId29"/>
    <sheet name="05 QMP-001งาน PM 315kVA" sheetId="23" r:id="rId30"/>
    <sheet name="04 PKE-001 ติดตั้งลากสาย RASA1" sheetId="22" r:id="rId31"/>
    <sheet name="03 TG-002 เปลี่ยน ACB" sheetId="5" r:id="rId32"/>
    <sheet name="02 JPP-001 งานชัยนาท" sheetId="9" r:id="rId33"/>
    <sheet name="01 PEK-001 Pen Eak" sheetId="10" r:id="rId34"/>
  </sheets>
  <externalReferences>
    <externalReference r:id="rId35"/>
    <externalReference r:id="rId36"/>
    <externalReference r:id="rId37"/>
  </externalReferences>
  <definedNames>
    <definedName name="a">'[1]QUOTATION BREAKDOWN (2)'!#REF!</definedName>
    <definedName name="contract" localSheetId="33">'01 PEK-001 Pen Eak'!#REF!</definedName>
    <definedName name="contract" localSheetId="32">'02 JPP-001 งานชัยนาท'!#REF!</definedName>
    <definedName name="contract" localSheetId="31">'03 TG-002 เปลี่ยน ACB'!#REF!</definedName>
    <definedName name="contract" localSheetId="30">'04 PKE-001 ติดตั้งลากสาย RASA1'!#REF!</definedName>
    <definedName name="contract" localSheetId="29">'05 QMP-001งาน PM 315kVA'!#REF!</definedName>
    <definedName name="contract" localSheetId="28">'06 UNT-001 รพ.ภัทรเวช'!#REF!</definedName>
    <definedName name="contract" localSheetId="27">'07 SUT-001 บ้านห้วยขวาง'!#REF!</definedName>
    <definedName name="contract" localSheetId="26">'08 PKE-002 ติดตั้งพัดลมระบายอาก'!#REF!</definedName>
    <definedName name="contract" localSheetId="25">'09 JEP-2601-001'!#REF!</definedName>
    <definedName name="contract" localSheetId="24">'10 UNT-2601-001 รพ.ภัทรเวช (2)'!#REF!</definedName>
    <definedName name="contract" localSheetId="23">'11 TMD-2601-001'!#REF!</definedName>
    <definedName name="contract" localSheetId="22">'12 TMD-2601-002'!#REF!</definedName>
    <definedName name="contract" localSheetId="21">'13 JPP-2601-001'!#REF!</definedName>
    <definedName name="contract" localSheetId="20">'14 TMD-2601-003'!#REF!</definedName>
    <definedName name="contract" localSheetId="19">'15 RACH36'!#REF!</definedName>
    <definedName name="contract" localSheetId="18">'20 SOL-264 02'!#REF!</definedName>
    <definedName name="contract" localSheetId="17">'21 TMD-004'!#REF!</definedName>
    <definedName name="contract" localSheetId="16">'22 TMD-005'!#REF!</definedName>
    <definedName name="contract" localSheetId="15">'23 TMD-006'!#REF!</definedName>
    <definedName name="contract" localSheetId="14">'24 POM-007'!#REF!</definedName>
    <definedName name="contract" localSheetId="7">'MC-002 Udonthani'!#REF!</definedName>
    <definedName name="contract" localSheetId="11">'PC-004 อาคาร D'!#REF!</definedName>
    <definedName name="contract" localSheetId="10">'PC-005 SHIN FONG'!#REF!</definedName>
    <definedName name="contract" localSheetId="9">'PC-006 JOWLE'!#REF!</definedName>
    <definedName name="contract" localSheetId="5">'PC-007 บ้านลาดกระบัง'!#REF!</definedName>
    <definedName name="contract" localSheetId="4">'PC-008 JINHAI'!#REF!</definedName>
    <definedName name="contract" localSheetId="3">'PC-009 BHP'!#REF!</definedName>
    <definedName name="contract" localSheetId="8">'PPC-001 Nestle'!#REF!</definedName>
    <definedName name="contract" localSheetId="6">'XP-001 งานนครนายก'!#REF!</definedName>
    <definedName name="contract" localSheetId="12">ค่าใช้จ่ายออฟฟิศ!#REF!</definedName>
    <definedName name="contract">'[2]CMS REV1'!$L$3</definedName>
    <definedName name="customs">#REF!</definedName>
    <definedName name="di">#REF!</definedName>
    <definedName name="disc">#REF!</definedName>
    <definedName name="DISCOUNT">#REF!</definedName>
    <definedName name="equip">#REF!</definedName>
    <definedName name="In">'[1]QUOTATION BREAKDOWN (2)'!#REF!</definedName>
    <definedName name="k">[3]offer!$N$7</definedName>
    <definedName name="kk">[3]offer!$N$6</definedName>
    <definedName name="material">#REF!</definedName>
    <definedName name="_xlnm.Print_Area" localSheetId="13">'All Job balance report'!$A$1:$V$32</definedName>
    <definedName name="Pro">#REF!</definedName>
    <definedName name="span">#REF!</definedName>
    <definedName name="stoc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40" l="1"/>
  <c r="G44" i="40"/>
  <c r="G43" i="40"/>
  <c r="G42" i="40"/>
  <c r="G41" i="40"/>
  <c r="G40" i="40"/>
  <c r="G39" i="40"/>
  <c r="G38" i="40"/>
  <c r="G37" i="40"/>
  <c r="G36" i="40"/>
  <c r="C33" i="40"/>
  <c r="C32" i="40"/>
  <c r="G27" i="40"/>
  <c r="M17" i="40"/>
  <c r="Q8" i="40"/>
  <c r="C5" i="40"/>
  <c r="C3" i="40"/>
  <c r="C2" i="40"/>
  <c r="C1" i="40"/>
  <c r="K24" i="8"/>
  <c r="H21" i="8"/>
  <c r="K21" i="8"/>
  <c r="C33" i="39"/>
  <c r="F45" i="39"/>
  <c r="G44" i="39"/>
  <c r="G43" i="39"/>
  <c r="G42" i="39"/>
  <c r="G41" i="39"/>
  <c r="G40" i="39"/>
  <c r="G39" i="39"/>
  <c r="G38" i="39"/>
  <c r="G37" i="39"/>
  <c r="G36" i="39"/>
  <c r="C32" i="39"/>
  <c r="G27" i="39"/>
  <c r="M17" i="39"/>
  <c r="Q8" i="39"/>
  <c r="C3" i="39"/>
  <c r="C2" i="39"/>
  <c r="C1" i="39"/>
  <c r="C33" i="38"/>
  <c r="C32" i="38"/>
  <c r="C3" i="38"/>
  <c r="C1" i="38"/>
  <c r="C2" i="38"/>
  <c r="F45" i="38"/>
  <c r="G44" i="38"/>
  <c r="G43" i="38"/>
  <c r="G42" i="38"/>
  <c r="G41" i="38"/>
  <c r="G40" i="38"/>
  <c r="G39" i="38"/>
  <c r="G38" i="38"/>
  <c r="G37" i="38"/>
  <c r="G36" i="38"/>
  <c r="G27" i="38"/>
  <c r="M17" i="38"/>
  <c r="Q8" i="38"/>
  <c r="H20" i="8"/>
  <c r="C1" i="37"/>
  <c r="C3" i="37"/>
  <c r="G37" i="37"/>
  <c r="C33" i="37"/>
  <c r="F45" i="37"/>
  <c r="C2" i="37"/>
  <c r="G29" i="8"/>
  <c r="G44" i="37"/>
  <c r="G43" i="37"/>
  <c r="G42" i="37"/>
  <c r="G41" i="37"/>
  <c r="G40" i="37"/>
  <c r="G39" i="37"/>
  <c r="G38" i="37"/>
  <c r="G36" i="37"/>
  <c r="C32" i="37"/>
  <c r="G27" i="37"/>
  <c r="Q17" i="37"/>
  <c r="M17" i="37"/>
  <c r="Q8" i="37"/>
  <c r="J19" i="20"/>
  <c r="J18" i="20"/>
  <c r="J17" i="20"/>
  <c r="J16" i="20"/>
  <c r="J15" i="20"/>
  <c r="J14" i="20"/>
  <c r="J13" i="20"/>
  <c r="J12" i="20"/>
  <c r="J11" i="20"/>
  <c r="J10" i="20"/>
  <c r="J9" i="20"/>
  <c r="J8" i="20"/>
  <c r="J7" i="20"/>
  <c r="J6" i="20"/>
  <c r="J5" i="20"/>
  <c r="J4" i="20"/>
  <c r="H3" i="35"/>
  <c r="H4" i="35"/>
  <c r="H5" i="35"/>
  <c r="H6" i="35"/>
  <c r="H7" i="35"/>
  <c r="H8" i="35"/>
  <c r="H9" i="35"/>
  <c r="H2" i="35"/>
  <c r="AO10" i="20"/>
  <c r="AM10" i="20"/>
  <c r="AK10" i="20"/>
  <c r="AI10" i="20"/>
  <c r="AG10" i="20"/>
  <c r="AE10" i="20"/>
  <c r="AC10" i="20"/>
  <c r="AA10" i="20"/>
  <c r="Y10" i="20"/>
  <c r="W10" i="20"/>
  <c r="U10" i="20"/>
  <c r="S10" i="20"/>
  <c r="Q10" i="20"/>
  <c r="O10" i="20"/>
  <c r="L10" i="20"/>
  <c r="L11" i="20"/>
  <c r="L12" i="20"/>
  <c r="E20" i="20"/>
  <c r="S7" i="20"/>
  <c r="Q29" i="20"/>
  <c r="L13" i="20"/>
  <c r="L14" i="20"/>
  <c r="L15" i="20"/>
  <c r="L16" i="20"/>
  <c r="L17" i="20"/>
  <c r="L18" i="20"/>
  <c r="L19" i="20"/>
  <c r="L9" i="20"/>
  <c r="Q25" i="20"/>
  <c r="Q22" i="20"/>
  <c r="AO8" i="20"/>
  <c r="AM8" i="20"/>
  <c r="AK8" i="20"/>
  <c r="AI8" i="20"/>
  <c r="AG8" i="20"/>
  <c r="AE8" i="20"/>
  <c r="AC8" i="20"/>
  <c r="AA8" i="20"/>
  <c r="Y8" i="20"/>
  <c r="W8" i="20"/>
  <c r="U8" i="20"/>
  <c r="S8" i="20"/>
  <c r="O8" i="20"/>
  <c r="R10" i="34"/>
  <c r="R9" i="34"/>
  <c r="R8" i="34"/>
  <c r="R7" i="34"/>
  <c r="C35" i="34"/>
  <c r="C34" i="34"/>
  <c r="C3" i="34"/>
  <c r="C2" i="34"/>
  <c r="C1" i="34"/>
  <c r="F47" i="34"/>
  <c r="G46" i="34"/>
  <c r="G45" i="34"/>
  <c r="G44" i="34"/>
  <c r="G43" i="34"/>
  <c r="G41" i="34"/>
  <c r="G40" i="34"/>
  <c r="G39" i="34"/>
  <c r="G38" i="34"/>
  <c r="M17" i="34"/>
  <c r="C6" i="34"/>
  <c r="C5" i="34"/>
  <c r="O26" i="20"/>
  <c r="O25" i="20"/>
  <c r="O23" i="20"/>
  <c r="O22" i="20"/>
  <c r="F45" i="33"/>
  <c r="C6" i="33" s="1"/>
  <c r="G44" i="33"/>
  <c r="H44" i="33" s="1"/>
  <c r="G43" i="33"/>
  <c r="H43" i="33" s="1"/>
  <c r="G42" i="33"/>
  <c r="H42" i="33" s="1"/>
  <c r="G41" i="33"/>
  <c r="H41" i="33" s="1"/>
  <c r="G40" i="33"/>
  <c r="H40" i="33" s="1"/>
  <c r="G39" i="33"/>
  <c r="H39" i="33" s="1"/>
  <c r="G38" i="33"/>
  <c r="H38" i="33" s="1"/>
  <c r="G37" i="33"/>
  <c r="H37" i="33" s="1"/>
  <c r="G36" i="33"/>
  <c r="C32" i="33"/>
  <c r="G27" i="33"/>
  <c r="M17" i="33"/>
  <c r="Q8" i="33"/>
  <c r="C5" i="33"/>
  <c r="C2" i="33"/>
  <c r="L6" i="20"/>
  <c r="L7" i="20"/>
  <c r="AO19" i="20"/>
  <c r="AO18" i="20"/>
  <c r="AO17" i="20"/>
  <c r="AO16" i="20"/>
  <c r="AO15" i="20"/>
  <c r="AO14" i="20"/>
  <c r="AO13" i="20"/>
  <c r="AO12" i="20"/>
  <c r="AO11" i="20"/>
  <c r="AO9" i="20"/>
  <c r="AO7" i="20"/>
  <c r="AO6" i="20"/>
  <c r="AO5" i="20"/>
  <c r="AM19" i="20"/>
  <c r="AM18" i="20"/>
  <c r="AM17" i="20"/>
  <c r="AM16" i="20"/>
  <c r="AM15" i="20"/>
  <c r="AM14" i="20"/>
  <c r="AM13" i="20"/>
  <c r="AM12" i="20"/>
  <c r="AM11" i="20"/>
  <c r="AM9" i="20"/>
  <c r="AM7" i="20"/>
  <c r="AM6" i="20"/>
  <c r="AM5" i="20"/>
  <c r="AK19" i="20"/>
  <c r="AK18" i="20"/>
  <c r="AK17" i="20"/>
  <c r="AK16" i="20"/>
  <c r="AK15" i="20"/>
  <c r="AK14" i="20"/>
  <c r="AK13" i="20"/>
  <c r="AK12" i="20"/>
  <c r="AK11" i="20"/>
  <c r="AK9" i="20"/>
  <c r="AK7" i="20"/>
  <c r="AK6" i="20"/>
  <c r="AK5" i="20"/>
  <c r="AI19" i="20"/>
  <c r="AI18" i="20"/>
  <c r="AI17" i="20"/>
  <c r="AI16" i="20"/>
  <c r="AI15" i="20"/>
  <c r="AI14" i="20"/>
  <c r="AI13" i="20"/>
  <c r="AI12" i="20"/>
  <c r="AI11" i="20"/>
  <c r="AI9" i="20"/>
  <c r="AI7" i="20"/>
  <c r="AI6" i="20"/>
  <c r="AI5" i="20"/>
  <c r="AG19" i="20"/>
  <c r="AG18" i="20"/>
  <c r="AG17" i="20"/>
  <c r="AG16" i="20"/>
  <c r="AG15" i="20"/>
  <c r="AG14" i="20"/>
  <c r="AG13" i="20"/>
  <c r="AG12" i="20"/>
  <c r="AG11" i="20"/>
  <c r="AG9" i="20"/>
  <c r="AG7" i="20"/>
  <c r="AG6" i="20"/>
  <c r="AG5" i="20"/>
  <c r="AE19" i="20"/>
  <c r="AE18" i="20"/>
  <c r="AE17" i="20"/>
  <c r="AE16" i="20"/>
  <c r="AE15" i="20"/>
  <c r="AE14" i="20"/>
  <c r="AE13" i="20"/>
  <c r="AE12" i="20"/>
  <c r="AE11" i="20"/>
  <c r="AE9" i="20"/>
  <c r="AE7" i="20"/>
  <c r="AE6" i="20"/>
  <c r="AE5" i="20"/>
  <c r="AC19" i="20"/>
  <c r="AC18" i="20"/>
  <c r="AC17" i="20"/>
  <c r="AC16" i="20"/>
  <c r="AC15" i="20"/>
  <c r="AC14" i="20"/>
  <c r="AC13" i="20"/>
  <c r="AC12" i="20"/>
  <c r="AC11" i="20"/>
  <c r="AC9" i="20"/>
  <c r="AC7" i="20"/>
  <c r="AC6" i="20"/>
  <c r="AC5" i="20"/>
  <c r="AA19" i="20"/>
  <c r="AA18" i="20"/>
  <c r="AA17" i="20"/>
  <c r="AA16" i="20"/>
  <c r="AA15" i="20"/>
  <c r="AA14" i="20"/>
  <c r="AA13" i="20"/>
  <c r="AA12" i="20"/>
  <c r="AA11" i="20"/>
  <c r="AA9" i="20"/>
  <c r="AA7" i="20"/>
  <c r="AA6" i="20"/>
  <c r="AA5" i="20"/>
  <c r="Y19" i="20"/>
  <c r="Y18" i="20"/>
  <c r="Y17" i="20"/>
  <c r="Y16" i="20"/>
  <c r="Y15" i="20"/>
  <c r="Y14" i="20"/>
  <c r="Y13" i="20"/>
  <c r="Y12" i="20"/>
  <c r="Y11" i="20"/>
  <c r="Y9" i="20"/>
  <c r="Y7" i="20"/>
  <c r="Y6" i="20"/>
  <c r="Y5" i="20"/>
  <c r="W19" i="20"/>
  <c r="W18" i="20"/>
  <c r="W17" i="20"/>
  <c r="W16" i="20"/>
  <c r="W15" i="20"/>
  <c r="W14" i="20"/>
  <c r="W13" i="20"/>
  <c r="W12" i="20"/>
  <c r="W11" i="20"/>
  <c r="W9" i="20"/>
  <c r="W7" i="20"/>
  <c r="W6" i="20"/>
  <c r="W5" i="20"/>
  <c r="U19" i="20"/>
  <c r="U18" i="20"/>
  <c r="U17" i="20"/>
  <c r="U16" i="20"/>
  <c r="U15" i="20"/>
  <c r="U14" i="20"/>
  <c r="U13" i="20"/>
  <c r="U12" i="20"/>
  <c r="U11" i="20"/>
  <c r="U9" i="20"/>
  <c r="U7" i="20"/>
  <c r="U6" i="20"/>
  <c r="U5" i="20"/>
  <c r="S19" i="20"/>
  <c r="S18" i="20"/>
  <c r="S17" i="20"/>
  <c r="S16" i="20"/>
  <c r="S15" i="20"/>
  <c r="S14" i="20"/>
  <c r="S13" i="20"/>
  <c r="S12" i="20"/>
  <c r="S11" i="20"/>
  <c r="S9" i="20"/>
  <c r="S6" i="20"/>
  <c r="S5" i="20"/>
  <c r="Q19" i="20"/>
  <c r="Q18" i="20"/>
  <c r="Q17" i="20"/>
  <c r="Q16" i="20"/>
  <c r="Q15" i="20"/>
  <c r="Q14" i="20"/>
  <c r="Q13" i="20"/>
  <c r="Q12" i="20"/>
  <c r="Q11" i="20"/>
  <c r="Q6" i="20"/>
  <c r="Q5" i="20"/>
  <c r="O19" i="20"/>
  <c r="O18" i="20"/>
  <c r="O5" i="20"/>
  <c r="O13" i="20"/>
  <c r="O14" i="20"/>
  <c r="O15" i="20"/>
  <c r="O16" i="20"/>
  <c r="O17" i="20"/>
  <c r="O12" i="20"/>
  <c r="O11" i="20"/>
  <c r="O9" i="20"/>
  <c r="O6" i="20"/>
  <c r="O4" i="20"/>
  <c r="AO4" i="20"/>
  <c r="AM4" i="20"/>
  <c r="AK4" i="20"/>
  <c r="AI4" i="20"/>
  <c r="AG4" i="20"/>
  <c r="AE4" i="20"/>
  <c r="AC4" i="20"/>
  <c r="AA4" i="20"/>
  <c r="Y4" i="20"/>
  <c r="W4" i="20"/>
  <c r="U4" i="20"/>
  <c r="S4" i="20"/>
  <c r="Q4" i="20"/>
  <c r="C33" i="32"/>
  <c r="C32" i="32"/>
  <c r="C3" i="32" s="1"/>
  <c r="C32" i="31"/>
  <c r="C1" i="31"/>
  <c r="C2" i="31"/>
  <c r="C3" i="31"/>
  <c r="F45" i="32"/>
  <c r="G44" i="32"/>
  <c r="H44" i="32" s="1"/>
  <c r="G43" i="32"/>
  <c r="H43" i="32" s="1"/>
  <c r="G42" i="32"/>
  <c r="H42" i="32" s="1"/>
  <c r="G41" i="32"/>
  <c r="H41" i="32" s="1"/>
  <c r="G39" i="32"/>
  <c r="H39" i="32" s="1"/>
  <c r="G38" i="32"/>
  <c r="H38" i="32" s="1"/>
  <c r="G37" i="32"/>
  <c r="H37" i="32" s="1"/>
  <c r="G36" i="32"/>
  <c r="M17" i="32"/>
  <c r="Q8" i="32"/>
  <c r="C2" i="32"/>
  <c r="C1" i="32"/>
  <c r="Q8" i="30"/>
  <c r="G13" i="8"/>
  <c r="S30" i="8"/>
  <c r="F45" i="31"/>
  <c r="G44" i="31"/>
  <c r="H44" i="31" s="1"/>
  <c r="G43" i="31"/>
  <c r="H43" i="31" s="1"/>
  <c r="G42" i="31"/>
  <c r="H42" i="31" s="1"/>
  <c r="G41" i="31"/>
  <c r="H41" i="31" s="1"/>
  <c r="G40" i="31"/>
  <c r="H40" i="31" s="1"/>
  <c r="G39" i="31"/>
  <c r="H39" i="31" s="1"/>
  <c r="G38" i="31"/>
  <c r="H38" i="31" s="1"/>
  <c r="G37" i="31"/>
  <c r="H37" i="31" s="1"/>
  <c r="G36" i="31"/>
  <c r="G27" i="31"/>
  <c r="M17" i="31"/>
  <c r="M17" i="30"/>
  <c r="G15" i="8" s="1"/>
  <c r="C1" i="30"/>
  <c r="C32" i="30"/>
  <c r="C3" i="30" s="1"/>
  <c r="C2" i="30"/>
  <c r="F45" i="30"/>
  <c r="C6" i="30" s="1"/>
  <c r="G44" i="30"/>
  <c r="H44" i="30" s="1"/>
  <c r="G43" i="30"/>
  <c r="H43" i="30" s="1"/>
  <c r="G42" i="30"/>
  <c r="H42" i="30" s="1"/>
  <c r="G41" i="30"/>
  <c r="H41" i="30" s="1"/>
  <c r="G39" i="30"/>
  <c r="H39" i="30" s="1"/>
  <c r="G38" i="30"/>
  <c r="H38" i="30" s="1"/>
  <c r="G37" i="30"/>
  <c r="H37" i="30" s="1"/>
  <c r="G36" i="30"/>
  <c r="H36" i="30" s="1"/>
  <c r="C2" i="29"/>
  <c r="C1" i="29"/>
  <c r="C33" i="29"/>
  <c r="C32" i="29"/>
  <c r="C3" i="29" s="1"/>
  <c r="G27" i="29"/>
  <c r="G44" i="29"/>
  <c r="H44" i="29" s="1"/>
  <c r="G43" i="29"/>
  <c r="H43" i="29" s="1"/>
  <c r="G42" i="29"/>
  <c r="H42" i="29" s="1"/>
  <c r="G41" i="29"/>
  <c r="H41" i="29" s="1"/>
  <c r="G40" i="29"/>
  <c r="H40" i="29" s="1"/>
  <c r="G39" i="29"/>
  <c r="H39" i="29" s="1"/>
  <c r="G38" i="29"/>
  <c r="H38" i="29" s="1"/>
  <c r="G37" i="29"/>
  <c r="G36" i="29"/>
  <c r="C2" i="28"/>
  <c r="C1" i="28"/>
  <c r="C32" i="28"/>
  <c r="C3" i="28" s="1"/>
  <c r="G44" i="28"/>
  <c r="H44" i="28" s="1"/>
  <c r="G43" i="28"/>
  <c r="H43" i="28" s="1"/>
  <c r="G42" i="28"/>
  <c r="H42" i="28" s="1"/>
  <c r="G41" i="28"/>
  <c r="H41" i="28" s="1"/>
  <c r="G40" i="28"/>
  <c r="H40" i="28" s="1"/>
  <c r="G39" i="28"/>
  <c r="H39" i="28" s="1"/>
  <c r="G38" i="28"/>
  <c r="H38" i="28" s="1"/>
  <c r="G37" i="28"/>
  <c r="G36" i="28"/>
  <c r="C33" i="28"/>
  <c r="C5" i="28" s="1"/>
  <c r="G27" i="28"/>
  <c r="G16" i="27"/>
  <c r="C2" i="27"/>
  <c r="C33" i="27"/>
  <c r="C5" i="27" s="1"/>
  <c r="C32" i="27"/>
  <c r="C3" i="27" s="1"/>
  <c r="R45" i="27"/>
  <c r="R44" i="27"/>
  <c r="G44" i="27"/>
  <c r="H44" i="27" s="1"/>
  <c r="R43" i="27"/>
  <c r="G43" i="27"/>
  <c r="H43" i="27" s="1"/>
  <c r="R42" i="27"/>
  <c r="F42" i="27" s="1"/>
  <c r="G42" i="27"/>
  <c r="R41" i="27"/>
  <c r="G41" i="27"/>
  <c r="H41" i="27" s="1"/>
  <c r="R40" i="27"/>
  <c r="G40" i="27"/>
  <c r="H40" i="27" s="1"/>
  <c r="R39" i="27"/>
  <c r="G39" i="27"/>
  <c r="H39" i="27" s="1"/>
  <c r="R38" i="27"/>
  <c r="F38" i="27" s="1"/>
  <c r="G38" i="27"/>
  <c r="Q37" i="27"/>
  <c r="Q47" i="27" s="1"/>
  <c r="P37" i="27"/>
  <c r="P47" i="27" s="1"/>
  <c r="O37" i="27"/>
  <c r="R37" i="27" s="1"/>
  <c r="N37" i="27"/>
  <c r="G37" i="27"/>
  <c r="H37" i="27" s="1"/>
  <c r="N36" i="27"/>
  <c r="R36" i="27" s="1"/>
  <c r="F45" i="27"/>
  <c r="C6" i="27" s="1"/>
  <c r="G27" i="27"/>
  <c r="G5" i="8"/>
  <c r="G27" i="24"/>
  <c r="C33" i="24"/>
  <c r="G13" i="21"/>
  <c r="G29" i="21" s="1"/>
  <c r="G30" i="21" s="1"/>
  <c r="G21" i="26"/>
  <c r="G38" i="26" s="1"/>
  <c r="G18" i="26"/>
  <c r="N14" i="26"/>
  <c r="G13" i="26"/>
  <c r="G34" i="26" s="1"/>
  <c r="C31" i="26"/>
  <c r="C2" i="26"/>
  <c r="R43" i="26"/>
  <c r="R42" i="26"/>
  <c r="G42" i="26"/>
  <c r="H42" i="26" s="1"/>
  <c r="R41" i="26"/>
  <c r="G41" i="26"/>
  <c r="H41" i="26" s="1"/>
  <c r="R40" i="26"/>
  <c r="F40" i="26" s="1"/>
  <c r="G40" i="26"/>
  <c r="R39" i="26"/>
  <c r="G39" i="26"/>
  <c r="H39" i="26" s="1"/>
  <c r="R38" i="26"/>
  <c r="R37" i="26"/>
  <c r="G37" i="26"/>
  <c r="H37" i="26" s="1"/>
  <c r="R36" i="26"/>
  <c r="G36" i="26"/>
  <c r="F36" i="26"/>
  <c r="Q35" i="26"/>
  <c r="P35" i="26"/>
  <c r="O35" i="26"/>
  <c r="O45" i="26" s="1"/>
  <c r="N35" i="26"/>
  <c r="R35" i="26" s="1"/>
  <c r="G35" i="26"/>
  <c r="N34" i="26"/>
  <c r="N45" i="26" s="1"/>
  <c r="C30" i="26"/>
  <c r="C3" i="26" s="1"/>
  <c r="C1" i="26"/>
  <c r="G19" i="25"/>
  <c r="G27" i="25" s="1"/>
  <c r="I22" i="5"/>
  <c r="G11" i="5"/>
  <c r="F36" i="25"/>
  <c r="C3" i="33" l="1"/>
  <c r="C6" i="40"/>
  <c r="H44" i="40"/>
  <c r="H36" i="40"/>
  <c r="G45" i="40"/>
  <c r="H42" i="40"/>
  <c r="H40" i="40"/>
  <c r="H39" i="40"/>
  <c r="H38" i="40"/>
  <c r="H43" i="40"/>
  <c r="H41" i="40"/>
  <c r="H37" i="40"/>
  <c r="G28" i="40"/>
  <c r="G30" i="40" s="1"/>
  <c r="C7" i="40"/>
  <c r="Q17" i="40"/>
  <c r="F46" i="40"/>
  <c r="F47" i="40" s="1"/>
  <c r="H24" i="8"/>
  <c r="C6" i="39"/>
  <c r="H39" i="39"/>
  <c r="G45" i="39"/>
  <c r="F46" i="39"/>
  <c r="H44" i="39"/>
  <c r="H37" i="39"/>
  <c r="C5" i="39"/>
  <c r="C7" i="39" s="1"/>
  <c r="H42" i="39"/>
  <c r="H41" i="39"/>
  <c r="G28" i="39"/>
  <c r="G30" i="39" s="1"/>
  <c r="Q17" i="39"/>
  <c r="H43" i="39"/>
  <c r="H40" i="39"/>
  <c r="H38" i="39"/>
  <c r="H36" i="39"/>
  <c r="H45" i="39" s="1"/>
  <c r="C6" i="38"/>
  <c r="H36" i="38"/>
  <c r="G28" i="38"/>
  <c r="G30" i="38" s="1"/>
  <c r="G45" i="38"/>
  <c r="H40" i="38"/>
  <c r="F46" i="38"/>
  <c r="H39" i="38"/>
  <c r="Q17" i="38"/>
  <c r="H44" i="38"/>
  <c r="H43" i="38"/>
  <c r="H37" i="38"/>
  <c r="F48" i="38"/>
  <c r="F50" i="38" s="1"/>
  <c r="H42" i="38"/>
  <c r="H41" i="38"/>
  <c r="H38" i="38"/>
  <c r="C5" i="38"/>
  <c r="C7" i="38" s="1"/>
  <c r="F46" i="37"/>
  <c r="I20" i="8" s="1"/>
  <c r="J20" i="8" s="1"/>
  <c r="C6" i="37"/>
  <c r="H39" i="37"/>
  <c r="H36" i="37"/>
  <c r="C5" i="37"/>
  <c r="C7" i="37" s="1"/>
  <c r="H37" i="37"/>
  <c r="H43" i="37"/>
  <c r="H38" i="37"/>
  <c r="G28" i="37"/>
  <c r="G30" i="37" s="1"/>
  <c r="H44" i="37"/>
  <c r="H42" i="37"/>
  <c r="G45" i="37"/>
  <c r="H41" i="37"/>
  <c r="H40" i="37"/>
  <c r="J20" i="20"/>
  <c r="H11" i="35"/>
  <c r="Q33" i="20"/>
  <c r="Q9" i="20"/>
  <c r="O21" i="20"/>
  <c r="Q21" i="20"/>
  <c r="Q20" i="20"/>
  <c r="O20" i="20"/>
  <c r="AE3" i="20"/>
  <c r="AC3" i="20"/>
  <c r="AA3" i="20"/>
  <c r="Y3" i="20"/>
  <c r="L8" i="20"/>
  <c r="AO3" i="20"/>
  <c r="AM3" i="20"/>
  <c r="AK3" i="20"/>
  <c r="AI3" i="20"/>
  <c r="AG3" i="20"/>
  <c r="W3" i="20"/>
  <c r="U3" i="20"/>
  <c r="S3" i="20"/>
  <c r="Q17" i="32"/>
  <c r="H15" i="8"/>
  <c r="Q17" i="33"/>
  <c r="Q17" i="30"/>
  <c r="G12" i="30" s="1"/>
  <c r="H16" i="8"/>
  <c r="P45" i="26"/>
  <c r="G20" i="5"/>
  <c r="Q45" i="26"/>
  <c r="T8" i="34"/>
  <c r="V8" i="34" s="1"/>
  <c r="T9" i="34"/>
  <c r="V9" i="34" s="1"/>
  <c r="T10" i="34"/>
  <c r="V10" i="34" s="1"/>
  <c r="T7" i="34"/>
  <c r="V7" i="34" s="1"/>
  <c r="S8" i="34"/>
  <c r="S9" i="34"/>
  <c r="S10" i="34"/>
  <c r="S7" i="34"/>
  <c r="S17" i="34" s="1"/>
  <c r="H46" i="34"/>
  <c r="H45" i="34"/>
  <c r="H41" i="34"/>
  <c r="C7" i="34"/>
  <c r="F48" i="34"/>
  <c r="F49" i="34" s="1"/>
  <c r="H44" i="34"/>
  <c r="H43" i="34"/>
  <c r="H38" i="34"/>
  <c r="H40" i="34"/>
  <c r="H39" i="34"/>
  <c r="C7" i="33"/>
  <c r="G28" i="33"/>
  <c r="G30" i="33" s="1"/>
  <c r="H36" i="33"/>
  <c r="H45" i="33" s="1"/>
  <c r="G45" i="33"/>
  <c r="F48" i="33" s="1"/>
  <c r="F46" i="33"/>
  <c r="F47" i="33" s="1"/>
  <c r="O3" i="20"/>
  <c r="C33" i="31"/>
  <c r="C6" i="32"/>
  <c r="H17" i="8"/>
  <c r="H36" i="32"/>
  <c r="F46" i="32"/>
  <c r="C5" i="32"/>
  <c r="C7" i="32" s="1"/>
  <c r="G27" i="32"/>
  <c r="G28" i="32" s="1"/>
  <c r="G30" i="32" s="1"/>
  <c r="G40" i="32"/>
  <c r="G27" i="30"/>
  <c r="G28" i="30" s="1"/>
  <c r="G30" i="30" s="1"/>
  <c r="G40" i="30"/>
  <c r="H37" i="29"/>
  <c r="C6" i="31"/>
  <c r="G28" i="31" s="1"/>
  <c r="G30" i="31" s="1"/>
  <c r="H36" i="31"/>
  <c r="H45" i="31" s="1"/>
  <c r="K16" i="8" s="1"/>
  <c r="G45" i="31"/>
  <c r="C33" i="30"/>
  <c r="H12" i="8"/>
  <c r="G45" i="29"/>
  <c r="F48" i="29" s="1"/>
  <c r="F50" i="29" s="1"/>
  <c r="H36" i="29"/>
  <c r="F45" i="29"/>
  <c r="C5" i="29"/>
  <c r="G45" i="28"/>
  <c r="F37" i="28"/>
  <c r="H36" i="28"/>
  <c r="H38" i="27"/>
  <c r="H42" i="27"/>
  <c r="F46" i="27"/>
  <c r="G28" i="27"/>
  <c r="G30" i="27" s="1"/>
  <c r="C7" i="27"/>
  <c r="G36" i="27"/>
  <c r="G45" i="27" s="1"/>
  <c r="F48" i="27" s="1"/>
  <c r="F50" i="27" s="1"/>
  <c r="N47" i="27"/>
  <c r="O47" i="27"/>
  <c r="G31" i="21"/>
  <c r="R34" i="26"/>
  <c r="R45" i="26"/>
  <c r="G25" i="26"/>
  <c r="H36" i="26"/>
  <c r="H35" i="26"/>
  <c r="H38" i="26"/>
  <c r="G43" i="26"/>
  <c r="F46" i="26" s="1"/>
  <c r="F48" i="26" s="1"/>
  <c r="H34" i="26"/>
  <c r="H40" i="26"/>
  <c r="F43" i="26"/>
  <c r="C6" i="26" s="1"/>
  <c r="C5" i="26"/>
  <c r="C33" i="25"/>
  <c r="C2" i="25"/>
  <c r="C32" i="25"/>
  <c r="C3" i="25" s="1"/>
  <c r="R45" i="25"/>
  <c r="R44" i="25"/>
  <c r="G44" i="25"/>
  <c r="H44" i="25" s="1"/>
  <c r="R43" i="25"/>
  <c r="G43" i="25"/>
  <c r="H43" i="25" s="1"/>
  <c r="R42" i="25"/>
  <c r="F42" i="25" s="1"/>
  <c r="G42" i="25"/>
  <c r="R41" i="25"/>
  <c r="G41" i="25"/>
  <c r="H41" i="25" s="1"/>
  <c r="R40" i="25"/>
  <c r="G40" i="25"/>
  <c r="H40" i="25" s="1"/>
  <c r="R39" i="25"/>
  <c r="G39" i="25"/>
  <c r="H39" i="25" s="1"/>
  <c r="R38" i="25"/>
  <c r="F38" i="25" s="1"/>
  <c r="G38" i="25"/>
  <c r="Q37" i="25"/>
  <c r="Q47" i="25" s="1"/>
  <c r="P37" i="25"/>
  <c r="P47" i="25" s="1"/>
  <c r="O37" i="25"/>
  <c r="O47" i="25" s="1"/>
  <c r="N37" i="25"/>
  <c r="G37" i="25"/>
  <c r="N36" i="25"/>
  <c r="R36" i="25" s="1"/>
  <c r="G36" i="25"/>
  <c r="F37" i="24"/>
  <c r="C2" i="24"/>
  <c r="C1" i="24"/>
  <c r="C2" i="23"/>
  <c r="C1" i="23"/>
  <c r="C32" i="24"/>
  <c r="C3" i="24" s="1"/>
  <c r="G44" i="24"/>
  <c r="H44" i="24" s="1"/>
  <c r="G43" i="24"/>
  <c r="H43" i="24" s="1"/>
  <c r="G42" i="24"/>
  <c r="G41" i="24"/>
  <c r="H41" i="24" s="1"/>
  <c r="G40" i="24"/>
  <c r="H40" i="24" s="1"/>
  <c r="G39" i="24"/>
  <c r="H39" i="24" s="1"/>
  <c r="G38" i="24"/>
  <c r="G37" i="24"/>
  <c r="G36" i="24"/>
  <c r="F47" i="37" l="1"/>
  <c r="F48" i="40"/>
  <c r="F50" i="40" s="1"/>
  <c r="F47" i="39"/>
  <c r="I24" i="8"/>
  <c r="J24" i="8" s="1"/>
  <c r="L24" i="8" s="1"/>
  <c r="F47" i="38"/>
  <c r="I21" i="8"/>
  <c r="J21" i="8" s="1"/>
  <c r="L21" i="8" s="1"/>
  <c r="H45" i="40"/>
  <c r="F48" i="39"/>
  <c r="F50" i="39" s="1"/>
  <c r="H45" i="38"/>
  <c r="H45" i="37"/>
  <c r="K20" i="8" s="1"/>
  <c r="L20" i="8" s="1"/>
  <c r="F48" i="37"/>
  <c r="F50" i="37" s="1"/>
  <c r="Q3" i="20"/>
  <c r="Q34" i="20"/>
  <c r="R47" i="27"/>
  <c r="H45" i="29"/>
  <c r="K14" i="8" s="1"/>
  <c r="C6" i="29"/>
  <c r="H14" i="8"/>
  <c r="V17" i="34"/>
  <c r="S19" i="34" s="1"/>
  <c r="G20" i="34" s="1"/>
  <c r="F48" i="31"/>
  <c r="F50" i="31" s="1"/>
  <c r="C5" i="31"/>
  <c r="C7" i="31" s="1"/>
  <c r="F46" i="31"/>
  <c r="C5" i="30"/>
  <c r="C7" i="30" s="1"/>
  <c r="F46" i="30"/>
  <c r="F47" i="30" s="1"/>
  <c r="F47" i="32"/>
  <c r="I17" i="8"/>
  <c r="J17" i="8" s="1"/>
  <c r="H40" i="32"/>
  <c r="H45" i="32" s="1"/>
  <c r="K17" i="8" s="1"/>
  <c r="G45" i="32"/>
  <c r="F48" i="32" s="1"/>
  <c r="F50" i="32" s="1"/>
  <c r="H40" i="30"/>
  <c r="H45" i="30" s="1"/>
  <c r="K15" i="8" s="1"/>
  <c r="G45" i="30"/>
  <c r="F48" i="30" s="1"/>
  <c r="F50" i="30" s="1"/>
  <c r="F48" i="28"/>
  <c r="F50" i="28" s="1"/>
  <c r="H13" i="8"/>
  <c r="F47" i="27"/>
  <c r="I12" i="8"/>
  <c r="F46" i="29"/>
  <c r="G28" i="29"/>
  <c r="G30" i="29" s="1"/>
  <c r="C7" i="29"/>
  <c r="F45" i="28"/>
  <c r="H37" i="28"/>
  <c r="H45" i="28" s="1"/>
  <c r="K13" i="8" s="1"/>
  <c r="H36" i="27"/>
  <c r="H45" i="27" s="1"/>
  <c r="K12" i="8" s="1"/>
  <c r="G26" i="26"/>
  <c r="G28" i="26" s="1"/>
  <c r="C7" i="26"/>
  <c r="F44" i="26"/>
  <c r="H43" i="26"/>
  <c r="K9" i="8" s="1"/>
  <c r="R37" i="25"/>
  <c r="G7" i="8"/>
  <c r="G10" i="8" s="1"/>
  <c r="G45" i="25"/>
  <c r="F48" i="25" s="1"/>
  <c r="H38" i="25"/>
  <c r="H42" i="25"/>
  <c r="N47" i="25"/>
  <c r="R47" i="25" s="1"/>
  <c r="C5" i="25"/>
  <c r="H36" i="25"/>
  <c r="H37" i="24"/>
  <c r="H42" i="24"/>
  <c r="G45" i="24"/>
  <c r="F48" i="24" s="1"/>
  <c r="F50" i="24" s="1"/>
  <c r="H38" i="24"/>
  <c r="F45" i="24"/>
  <c r="F46" i="24" s="1"/>
  <c r="C5" i="24"/>
  <c r="H36" i="24"/>
  <c r="H29" i="8" l="1"/>
  <c r="G42" i="34"/>
  <c r="G29" i="34"/>
  <c r="G30" i="34" s="1"/>
  <c r="G32" i="34" s="1"/>
  <c r="I15" i="8"/>
  <c r="J15" i="8" s="1"/>
  <c r="F47" i="31"/>
  <c r="I16" i="8"/>
  <c r="J16" i="8" s="1"/>
  <c r="L16" i="8" s="1"/>
  <c r="T16" i="8" s="1"/>
  <c r="K29" i="8"/>
  <c r="L17" i="8"/>
  <c r="F47" i="29"/>
  <c r="I14" i="8"/>
  <c r="J12" i="8"/>
  <c r="C6" i="28"/>
  <c r="F46" i="28"/>
  <c r="F45" i="26"/>
  <c r="I9" i="8"/>
  <c r="J9" i="8" s="1"/>
  <c r="T9" i="8" s="1"/>
  <c r="L8" i="8"/>
  <c r="F50" i="25"/>
  <c r="H37" i="25"/>
  <c r="H45" i="25" s="1"/>
  <c r="K8" i="8" s="1"/>
  <c r="F45" i="25"/>
  <c r="H8" i="8" s="1"/>
  <c r="C6" i="24"/>
  <c r="G28" i="24" s="1"/>
  <c r="G30" i="24" s="1"/>
  <c r="H7" i="8"/>
  <c r="F47" i="24"/>
  <c r="J7" i="8" s="1"/>
  <c r="I7" i="8"/>
  <c r="H45" i="24"/>
  <c r="K7" i="8" s="1"/>
  <c r="C25" i="23"/>
  <c r="F47" i="28" l="1"/>
  <c r="I13" i="8"/>
  <c r="J13" i="8" s="1"/>
  <c r="L13" i="8" s="1"/>
  <c r="T13" i="8" s="1"/>
  <c r="G47" i="34"/>
  <c r="F50" i="34" s="1"/>
  <c r="F52" i="34" s="1"/>
  <c r="H42" i="34"/>
  <c r="H47" i="34" s="1"/>
  <c r="L15" i="8"/>
  <c r="L12" i="8"/>
  <c r="T12" i="8" s="1"/>
  <c r="T15" i="8"/>
  <c r="J14" i="8"/>
  <c r="G28" i="28"/>
  <c r="G30" i="28" s="1"/>
  <c r="C7" i="28"/>
  <c r="Q8" i="8"/>
  <c r="T8" i="8"/>
  <c r="C6" i="25"/>
  <c r="F46" i="25"/>
  <c r="C7" i="24"/>
  <c r="L7" i="8"/>
  <c r="R37" i="23"/>
  <c r="R36" i="23"/>
  <c r="G36" i="23"/>
  <c r="H36" i="23" s="1"/>
  <c r="R35" i="23"/>
  <c r="G35" i="23"/>
  <c r="H35" i="23" s="1"/>
  <c r="R34" i="23"/>
  <c r="F34" i="23" s="1"/>
  <c r="G34" i="23"/>
  <c r="R33" i="23"/>
  <c r="G33" i="23"/>
  <c r="H33" i="23" s="1"/>
  <c r="R32" i="23"/>
  <c r="G32" i="23"/>
  <c r="H32" i="23" s="1"/>
  <c r="R31" i="23"/>
  <c r="G31" i="23"/>
  <c r="H31" i="23" s="1"/>
  <c r="R30" i="23"/>
  <c r="F30" i="23" s="1"/>
  <c r="G30" i="23"/>
  <c r="Q29" i="23"/>
  <c r="Q39" i="23" s="1"/>
  <c r="P29" i="23"/>
  <c r="P39" i="23" s="1"/>
  <c r="O29" i="23"/>
  <c r="O39" i="23" s="1"/>
  <c r="N29" i="23"/>
  <c r="G29" i="23"/>
  <c r="H29" i="23" s="1"/>
  <c r="N28" i="23"/>
  <c r="G28" i="23"/>
  <c r="C24" i="23"/>
  <c r="C3" i="23" s="1"/>
  <c r="G19" i="23"/>
  <c r="F39" i="22"/>
  <c r="F36" i="22"/>
  <c r="F35" i="22"/>
  <c r="J29" i="8" l="1"/>
  <c r="L14" i="8"/>
  <c r="T7" i="8"/>
  <c r="F47" i="25"/>
  <c r="J8" i="8" s="1"/>
  <c r="I8" i="8"/>
  <c r="G28" i="25"/>
  <c r="G30" i="25" s="1"/>
  <c r="C7" i="25"/>
  <c r="N39" i="23"/>
  <c r="H34" i="23"/>
  <c r="R29" i="23"/>
  <c r="R28" i="23"/>
  <c r="G37" i="23"/>
  <c r="F40" i="23" s="1"/>
  <c r="F42" i="23" s="1"/>
  <c r="H30" i="23"/>
  <c r="F37" i="23"/>
  <c r="C6" i="23" s="1"/>
  <c r="G20" i="23" s="1"/>
  <c r="G22" i="23" s="1"/>
  <c r="R39" i="23"/>
  <c r="C5" i="23"/>
  <c r="H28" i="23"/>
  <c r="G26" i="22"/>
  <c r="C1" i="22"/>
  <c r="C2" i="22"/>
  <c r="G25" i="10"/>
  <c r="G42" i="10"/>
  <c r="G41" i="10"/>
  <c r="H41" i="10" s="1"/>
  <c r="G29" i="9"/>
  <c r="H29" i="9" s="1"/>
  <c r="G36" i="5"/>
  <c r="H36" i="5" s="1"/>
  <c r="G42" i="22"/>
  <c r="H42" i="22" s="1"/>
  <c r="G43" i="22"/>
  <c r="R42" i="22"/>
  <c r="R36" i="5"/>
  <c r="R29" i="9"/>
  <c r="L29" i="8" l="1"/>
  <c r="T14" i="8"/>
  <c r="C32" i="22"/>
  <c r="H37" i="23"/>
  <c r="K6" i="8" s="1"/>
  <c r="C7" i="23"/>
  <c r="F38" i="23"/>
  <c r="I6" i="8" s="1"/>
  <c r="J6" i="8" s="1"/>
  <c r="G38" i="10"/>
  <c r="F47" i="21"/>
  <c r="F50" i="21" s="1"/>
  <c r="R44" i="22"/>
  <c r="R43" i="22"/>
  <c r="H43" i="22"/>
  <c r="R41" i="22"/>
  <c r="F41" i="22" s="1"/>
  <c r="G41" i="22"/>
  <c r="R40" i="22"/>
  <c r="G40" i="22"/>
  <c r="H40" i="22" s="1"/>
  <c r="R39" i="22"/>
  <c r="G39" i="22"/>
  <c r="H39" i="22" s="1"/>
  <c r="R38" i="22"/>
  <c r="G38" i="22"/>
  <c r="H38" i="22" s="1"/>
  <c r="R37" i="22"/>
  <c r="F37" i="22" s="1"/>
  <c r="G37" i="22"/>
  <c r="Q36" i="22"/>
  <c r="Q46" i="22" s="1"/>
  <c r="P36" i="22"/>
  <c r="P46" i="22" s="1"/>
  <c r="O36" i="22"/>
  <c r="O46" i="22" s="1"/>
  <c r="N36" i="22"/>
  <c r="G36" i="22"/>
  <c r="H36" i="22" s="1"/>
  <c r="N35" i="22"/>
  <c r="R35" i="22" s="1"/>
  <c r="G35" i="22"/>
  <c r="C31" i="22"/>
  <c r="C3" i="22" s="1"/>
  <c r="G49" i="21"/>
  <c r="H49" i="21" s="1"/>
  <c r="G48" i="21"/>
  <c r="H48" i="21" s="1"/>
  <c r="G47" i="21"/>
  <c r="G46" i="21"/>
  <c r="H46" i="21" s="1"/>
  <c r="G45" i="21"/>
  <c r="H45" i="21" s="1"/>
  <c r="G44" i="21"/>
  <c r="H44" i="21" s="1"/>
  <c r="G43" i="21"/>
  <c r="H43" i="21" s="1"/>
  <c r="G42" i="21"/>
  <c r="C38" i="21"/>
  <c r="L6" i="8" l="1"/>
  <c r="I29" i="8"/>
  <c r="D34" i="8"/>
  <c r="F39" i="23"/>
  <c r="H47" i="21"/>
  <c r="F44" i="22"/>
  <c r="H37" i="22"/>
  <c r="N46" i="22"/>
  <c r="R46" i="22" s="1"/>
  <c r="G44" i="22"/>
  <c r="F47" i="22" s="1"/>
  <c r="F49" i="22" s="1"/>
  <c r="H41" i="22"/>
  <c r="H35" i="22"/>
  <c r="R36" i="22"/>
  <c r="C5" i="22"/>
  <c r="G50" i="21"/>
  <c r="H42" i="21"/>
  <c r="G9" i="9"/>
  <c r="C2" i="5"/>
  <c r="C2" i="10"/>
  <c r="C1" i="10"/>
  <c r="L5" i="20"/>
  <c r="G24" i="9"/>
  <c r="L4" i="20"/>
  <c r="T6" i="8" l="1"/>
  <c r="Q6" i="8"/>
  <c r="L20" i="20"/>
  <c r="C6" i="22"/>
  <c r="G27" i="22" s="1"/>
  <c r="G29" i="22" s="1"/>
  <c r="H5" i="8"/>
  <c r="H50" i="21"/>
  <c r="H44" i="22"/>
  <c r="K5" i="8" s="1"/>
  <c r="F45" i="22"/>
  <c r="C7" i="22"/>
  <c r="F46" i="22" l="1"/>
  <c r="I5" i="8"/>
  <c r="J5" i="8" s="1"/>
  <c r="L5" i="8" s="1"/>
  <c r="C35" i="8"/>
  <c r="Q5" i="8" l="1"/>
  <c r="T5" i="8"/>
  <c r="G56" i="15"/>
  <c r="W32" i="15"/>
  <c r="G40" i="17"/>
  <c r="C72" i="11" l="1"/>
  <c r="C19" i="9"/>
  <c r="C31" i="10"/>
  <c r="C52" i="19"/>
  <c r="C53" i="19"/>
  <c r="D92" i="19" l="1"/>
  <c r="D80" i="19"/>
  <c r="F64" i="19"/>
  <c r="G63" i="19"/>
  <c r="H63" i="19" s="1"/>
  <c r="G62" i="19"/>
  <c r="H62" i="19" s="1"/>
  <c r="G61" i="19"/>
  <c r="H61" i="19" s="1"/>
  <c r="G60" i="19"/>
  <c r="G59" i="19"/>
  <c r="H59" i="19" s="1"/>
  <c r="G58" i="19"/>
  <c r="H58" i="19" s="1"/>
  <c r="L57" i="19"/>
  <c r="G57" i="19"/>
  <c r="H57" i="19" s="1"/>
  <c r="G56" i="19"/>
  <c r="G47" i="19"/>
  <c r="BC31" i="19"/>
  <c r="Z31" i="19"/>
  <c r="BC30" i="19"/>
  <c r="Z29" i="19" s="1"/>
  <c r="BC29" i="19"/>
  <c r="Z28" i="19" s="1"/>
  <c r="BC28" i="19"/>
  <c r="BC27" i="19"/>
  <c r="Z26" i="19" s="1"/>
  <c r="BD26" i="19" s="1"/>
  <c r="BC26" i="19"/>
  <c r="BC25" i="19"/>
  <c r="Z25" i="19"/>
  <c r="BC24" i="19"/>
  <c r="Z23" i="19" s="1"/>
  <c r="Z24" i="19"/>
  <c r="BC23" i="19"/>
  <c r="BD23" i="19" s="1"/>
  <c r="BC22" i="19"/>
  <c r="Z21" i="19" s="1"/>
  <c r="Z22" i="19"/>
  <c r="BC21" i="19"/>
  <c r="Z20" i="19" s="1"/>
  <c r="BD20" i="19" s="1"/>
  <c r="BC20" i="19"/>
  <c r="BC19" i="19"/>
  <c r="Z18" i="19" s="1"/>
  <c r="Z19" i="19"/>
  <c r="BC18" i="19"/>
  <c r="BC17" i="19"/>
  <c r="Z17" i="19"/>
  <c r="BC16" i="19"/>
  <c r="Z15" i="19" s="1"/>
  <c r="Z16" i="19"/>
  <c r="BC15" i="19"/>
  <c r="BD15" i="19" s="1"/>
  <c r="BC14" i="19"/>
  <c r="Z13" i="19" s="1"/>
  <c r="Z14" i="19"/>
  <c r="BC13" i="19"/>
  <c r="BD13" i="19" s="1"/>
  <c r="BC12" i="19"/>
  <c r="BC11" i="19"/>
  <c r="Z10" i="19" s="1"/>
  <c r="Z11" i="19"/>
  <c r="BC10" i="19"/>
  <c r="BC9" i="19"/>
  <c r="BC8" i="19"/>
  <c r="BD8" i="19" s="1"/>
  <c r="BW7" i="19"/>
  <c r="BV7" i="19"/>
  <c r="BU7" i="19"/>
  <c r="BT7" i="19"/>
  <c r="BS7" i="19"/>
  <c r="BR7" i="19"/>
  <c r="BQ7" i="19"/>
  <c r="BP7" i="19"/>
  <c r="BO7" i="19"/>
  <c r="BN7" i="19"/>
  <c r="BM7" i="19"/>
  <c r="BL7" i="19"/>
  <c r="BK7" i="19"/>
  <c r="BJ7" i="19"/>
  <c r="BI7" i="19"/>
  <c r="BH7" i="19"/>
  <c r="BG7" i="19"/>
  <c r="BF7" i="19"/>
  <c r="BE7" i="19"/>
  <c r="BB7" i="19"/>
  <c r="BA7" i="19"/>
  <c r="AZ7" i="19"/>
  <c r="AY7" i="19"/>
  <c r="AX7" i="19"/>
  <c r="AW7" i="19"/>
  <c r="AV7" i="19"/>
  <c r="AU7" i="19"/>
  <c r="AT7" i="19"/>
  <c r="AS7" i="19"/>
  <c r="AR7" i="19"/>
  <c r="AQ7" i="19"/>
  <c r="AP7" i="19"/>
  <c r="AO7" i="19"/>
  <c r="AN7" i="19"/>
  <c r="AM7" i="19"/>
  <c r="AL7" i="19"/>
  <c r="AK7" i="19"/>
  <c r="AJ7" i="19"/>
  <c r="AI7" i="19"/>
  <c r="AH7" i="19"/>
  <c r="AG7" i="19"/>
  <c r="AF7" i="19"/>
  <c r="AE7" i="19"/>
  <c r="AD7" i="19"/>
  <c r="AC7" i="19"/>
  <c r="AB7" i="19"/>
  <c r="AA7" i="19"/>
  <c r="C5" i="19"/>
  <c r="C3" i="19"/>
  <c r="D92" i="18"/>
  <c r="D80" i="18"/>
  <c r="H56" i="19" l="1"/>
  <c r="BD31" i="19"/>
  <c r="BD28" i="19"/>
  <c r="Z27" i="19"/>
  <c r="BD25" i="19"/>
  <c r="BD18" i="19"/>
  <c r="BD17" i="19"/>
  <c r="BD10" i="19"/>
  <c r="BD9" i="19"/>
  <c r="H60" i="19"/>
  <c r="F65" i="19"/>
  <c r="F66" i="19" s="1"/>
  <c r="C6" i="19"/>
  <c r="G48" i="19" s="1"/>
  <c r="G50" i="19" s="1"/>
  <c r="H64" i="19"/>
  <c r="G64" i="19"/>
  <c r="BD16" i="19"/>
  <c r="Z30" i="19"/>
  <c r="BD30" i="19" s="1"/>
  <c r="BD11" i="19"/>
  <c r="BD19" i="19"/>
  <c r="BD21" i="19"/>
  <c r="BD29" i="19"/>
  <c r="BD24" i="19"/>
  <c r="Z12" i="19"/>
  <c r="BD12" i="19" s="1"/>
  <c r="BD14" i="19"/>
  <c r="BD22" i="19"/>
  <c r="F67" i="19" l="1"/>
  <c r="F70" i="19" s="1"/>
  <c r="BD27" i="19"/>
  <c r="BD32" i="19"/>
  <c r="C7" i="19"/>
  <c r="C53" i="18"/>
  <c r="C5" i="18" s="1"/>
  <c r="C52" i="18"/>
  <c r="C3" i="18" s="1"/>
  <c r="G63" i="18"/>
  <c r="H63" i="18" s="1"/>
  <c r="G62" i="18"/>
  <c r="H62" i="18" s="1"/>
  <c r="G61" i="18"/>
  <c r="H61" i="18" s="1"/>
  <c r="G60" i="18"/>
  <c r="H60" i="18" s="1"/>
  <c r="G59" i="18"/>
  <c r="H59" i="18" s="1"/>
  <c r="G58" i="18"/>
  <c r="H58" i="18" s="1"/>
  <c r="L57" i="18"/>
  <c r="G57" i="18"/>
  <c r="G56" i="18"/>
  <c r="BC31" i="18"/>
  <c r="Z31" i="18"/>
  <c r="BC30" i="18"/>
  <c r="Z29" i="18" s="1"/>
  <c r="Z30" i="18"/>
  <c r="BC29" i="18"/>
  <c r="Z28" i="18" s="1"/>
  <c r="BC28" i="18"/>
  <c r="BC27" i="18"/>
  <c r="Z26" i="18" s="1"/>
  <c r="BC26" i="18"/>
  <c r="Z25" i="18" s="1"/>
  <c r="BC25" i="18"/>
  <c r="BC24" i="18"/>
  <c r="Z23" i="18" s="1"/>
  <c r="Z24" i="18"/>
  <c r="BC23" i="18"/>
  <c r="Z22" i="18" s="1"/>
  <c r="BC22" i="18"/>
  <c r="Z21" i="18" s="1"/>
  <c r="BC21" i="18"/>
  <c r="Z20" i="18" s="1"/>
  <c r="BC20" i="18"/>
  <c r="BC19" i="18"/>
  <c r="Z18" i="18" s="1"/>
  <c r="BC18" i="18"/>
  <c r="Z17" i="18" s="1"/>
  <c r="G47" i="18"/>
  <c r="BC17" i="18"/>
  <c r="BC16" i="18"/>
  <c r="Z15" i="18" s="1"/>
  <c r="Z16" i="18"/>
  <c r="BC15" i="18"/>
  <c r="BC14" i="18"/>
  <c r="Z13" i="18" s="1"/>
  <c r="BC13" i="18"/>
  <c r="BD13" i="18" s="1"/>
  <c r="BC12" i="18"/>
  <c r="Z11" i="18" s="1"/>
  <c r="BC11" i="18"/>
  <c r="BC10" i="18"/>
  <c r="BC9" i="18"/>
  <c r="BD9" i="18" s="1"/>
  <c r="BC8" i="18"/>
  <c r="BD8" i="18" s="1"/>
  <c r="BW7" i="18"/>
  <c r="BV7" i="18"/>
  <c r="BU7" i="18"/>
  <c r="BT7" i="18"/>
  <c r="BS7" i="18"/>
  <c r="BR7" i="18"/>
  <c r="BQ7" i="18"/>
  <c r="BP7" i="18"/>
  <c r="BO7" i="18"/>
  <c r="BN7" i="18"/>
  <c r="BM7" i="18"/>
  <c r="BL7" i="18"/>
  <c r="BK7" i="18"/>
  <c r="BJ7" i="18"/>
  <c r="BI7" i="18"/>
  <c r="BH7" i="18"/>
  <c r="BG7" i="18"/>
  <c r="BF7" i="18"/>
  <c r="BE7" i="18"/>
  <c r="BB7" i="18"/>
  <c r="BA7" i="18"/>
  <c r="AZ7" i="18"/>
  <c r="AY7" i="18"/>
  <c r="AX7" i="18"/>
  <c r="AW7" i="18"/>
  <c r="AV7" i="18"/>
  <c r="AU7" i="18"/>
  <c r="AT7" i="18"/>
  <c r="AS7" i="18"/>
  <c r="AR7" i="18"/>
  <c r="AQ7" i="18"/>
  <c r="AP7" i="18"/>
  <c r="AO7" i="18"/>
  <c r="AN7" i="18"/>
  <c r="AM7" i="18"/>
  <c r="AL7" i="18"/>
  <c r="AK7" i="18"/>
  <c r="AJ7" i="18"/>
  <c r="AI7" i="18"/>
  <c r="AH7" i="18"/>
  <c r="AG7" i="18"/>
  <c r="AF7" i="18"/>
  <c r="AE7" i="18"/>
  <c r="AD7" i="18"/>
  <c r="AC7" i="18"/>
  <c r="AB7" i="18"/>
  <c r="AA7" i="18"/>
  <c r="G18" i="15"/>
  <c r="G47" i="15" s="1"/>
  <c r="BD31" i="18" l="1"/>
  <c r="BD20" i="18"/>
  <c r="G64" i="18"/>
  <c r="F67" i="18" s="1"/>
  <c r="F70" i="18" s="1"/>
  <c r="BD11" i="18"/>
  <c r="BD28" i="18"/>
  <c r="BD18" i="18"/>
  <c r="BD23" i="18"/>
  <c r="H57" i="18"/>
  <c r="Z10" i="18"/>
  <c r="BD10" i="18" s="1"/>
  <c r="BD24" i="18"/>
  <c r="BD30" i="18"/>
  <c r="BD25" i="18"/>
  <c r="BD17" i="18"/>
  <c r="BD22" i="18"/>
  <c r="BD26" i="18"/>
  <c r="BD15" i="18"/>
  <c r="H56" i="18"/>
  <c r="F64" i="18"/>
  <c r="C6" i="18" s="1"/>
  <c r="G48" i="18" s="1"/>
  <c r="G50" i="18" s="1"/>
  <c r="Z14" i="18"/>
  <c r="BD14" i="18" s="1"/>
  <c r="BD16" i="18"/>
  <c r="Z19" i="18"/>
  <c r="BD19" i="18" s="1"/>
  <c r="BD21" i="18"/>
  <c r="Z27" i="18"/>
  <c r="BD29" i="18"/>
  <c r="BD27" i="18"/>
  <c r="Z12" i="18"/>
  <c r="BD12" i="18" s="1"/>
  <c r="H64" i="18" l="1"/>
  <c r="F65" i="18"/>
  <c r="BD32" i="18"/>
  <c r="C7" i="18"/>
  <c r="C34" i="8"/>
  <c r="F66" i="18" l="1"/>
  <c r="C63" i="12"/>
  <c r="T19" i="16"/>
  <c r="R19" i="16"/>
  <c r="O20" i="16"/>
  <c r="O19" i="16"/>
  <c r="O22" i="16" l="1"/>
  <c r="BU8" i="12"/>
  <c r="AZ8" i="12" s="1"/>
  <c r="BU9" i="12"/>
  <c r="AZ9" i="12" s="1"/>
  <c r="BV9" i="12" s="1"/>
  <c r="BU10" i="12"/>
  <c r="BU11" i="12"/>
  <c r="BU12" i="12"/>
  <c r="BU13" i="12"/>
  <c r="AZ13" i="12" s="1"/>
  <c r="BU14" i="12"/>
  <c r="AZ14" i="12" s="1"/>
  <c r="BU15" i="12"/>
  <c r="AZ15" i="12" s="1"/>
  <c r="BU16" i="12"/>
  <c r="BU17" i="12"/>
  <c r="BU18" i="12"/>
  <c r="BU19" i="12"/>
  <c r="AZ19" i="12" s="1"/>
  <c r="BU20" i="12"/>
  <c r="BU21" i="12"/>
  <c r="BU22" i="12"/>
  <c r="AZ22" i="12" s="1"/>
  <c r="BV22" i="12" s="1"/>
  <c r="BU23" i="12"/>
  <c r="AZ23" i="12" s="1"/>
  <c r="BU24" i="12"/>
  <c r="AZ24" i="12" s="1"/>
  <c r="BV24" i="12" s="1"/>
  <c r="BU25" i="12"/>
  <c r="AZ25" i="12" s="1"/>
  <c r="BU26" i="12"/>
  <c r="BU27" i="12"/>
  <c r="AZ27" i="12" s="1"/>
  <c r="BU28" i="12"/>
  <c r="AZ28" i="12" s="1"/>
  <c r="BU29" i="12"/>
  <c r="BU30" i="12"/>
  <c r="AZ30" i="12" s="1"/>
  <c r="BU31" i="12"/>
  <c r="AZ31" i="12" s="1"/>
  <c r="AX9" i="12"/>
  <c r="AX10" i="12"/>
  <c r="AX11" i="12"/>
  <c r="AX12" i="12"/>
  <c r="AX13" i="12"/>
  <c r="AX14" i="12"/>
  <c r="AX15" i="12"/>
  <c r="AX16" i="12"/>
  <c r="AX17" i="12"/>
  <c r="AX18" i="12"/>
  <c r="AX19" i="12"/>
  <c r="AX20" i="12"/>
  <c r="AX21" i="12"/>
  <c r="AX22" i="12"/>
  <c r="AX23" i="12"/>
  <c r="AX24" i="12"/>
  <c r="AX25" i="12"/>
  <c r="AX26" i="12"/>
  <c r="AX27" i="12"/>
  <c r="AX28" i="12"/>
  <c r="AX29" i="12"/>
  <c r="AX30" i="12"/>
  <c r="AX31" i="12"/>
  <c r="AX8" i="12"/>
  <c r="AY8" i="12"/>
  <c r="AZ16" i="12" l="1"/>
  <c r="BV16" i="12"/>
  <c r="BV27" i="12"/>
  <c r="BV30" i="12"/>
  <c r="BV23" i="12"/>
  <c r="AZ17" i="12"/>
  <c r="BV17" i="12" s="1"/>
  <c r="BV15" i="12"/>
  <c r="AZ21" i="12"/>
  <c r="BV21" i="12" s="1"/>
  <c r="AZ18" i="12"/>
  <c r="BV18" i="12" s="1"/>
  <c r="BV31" i="12"/>
  <c r="BV13" i="12"/>
  <c r="AZ29" i="12"/>
  <c r="BV29" i="12" s="1"/>
  <c r="AZ20" i="12"/>
  <c r="BV20" i="12" s="1"/>
  <c r="BV14" i="12"/>
  <c r="AZ10" i="12"/>
  <c r="BV10" i="12" s="1"/>
  <c r="BV28" i="12"/>
  <c r="AZ26" i="12"/>
  <c r="BV26" i="12" s="1"/>
  <c r="BV25" i="12"/>
  <c r="BV19" i="12"/>
  <c r="AZ12" i="12"/>
  <c r="BV12" i="12" s="1"/>
  <c r="AZ11" i="12"/>
  <c r="BV11" i="12" s="1"/>
  <c r="BV8" i="12"/>
  <c r="G56" i="16"/>
  <c r="C2" i="17" l="1"/>
  <c r="C1" i="17"/>
  <c r="C72" i="1"/>
  <c r="C5" i="1" s="1"/>
  <c r="C72" i="6"/>
  <c r="C26" i="5"/>
  <c r="C46" i="17"/>
  <c r="C5" i="17" s="1"/>
  <c r="C45" i="17"/>
  <c r="C3" i="17" s="1"/>
  <c r="F57" i="17"/>
  <c r="C6" i="17" s="1"/>
  <c r="G56" i="17"/>
  <c r="H56" i="17" s="1"/>
  <c r="G55" i="17"/>
  <c r="H55" i="17" s="1"/>
  <c r="G54" i="17"/>
  <c r="H54" i="17" s="1"/>
  <c r="G53" i="17"/>
  <c r="H53" i="17" s="1"/>
  <c r="G52" i="17"/>
  <c r="H52" i="17" s="1"/>
  <c r="G51" i="17"/>
  <c r="H51" i="17" s="1"/>
  <c r="G50" i="17"/>
  <c r="H50" i="17" s="1"/>
  <c r="G49" i="17"/>
  <c r="C71" i="1"/>
  <c r="C71" i="6"/>
  <c r="C71" i="11"/>
  <c r="C25" i="5"/>
  <c r="C18" i="9"/>
  <c r="C30" i="10"/>
  <c r="C3" i="10" s="1"/>
  <c r="G58" i="16"/>
  <c r="H58" i="16" s="1"/>
  <c r="C2" i="16"/>
  <c r="C1" i="16"/>
  <c r="C53" i="16"/>
  <c r="C52" i="16"/>
  <c r="G41" i="17" l="1"/>
  <c r="G43" i="17" s="1"/>
  <c r="G57" i="17"/>
  <c r="F60" i="17" s="1"/>
  <c r="C7" i="17"/>
  <c r="F58" i="17"/>
  <c r="H49" i="17"/>
  <c r="H57" i="17" s="1"/>
  <c r="G63" i="16"/>
  <c r="H63" i="16" s="1"/>
  <c r="G62" i="16"/>
  <c r="H62" i="16" s="1"/>
  <c r="G61" i="16"/>
  <c r="H61" i="16" s="1"/>
  <c r="G60" i="16"/>
  <c r="H60" i="16" s="1"/>
  <c r="G59" i="16"/>
  <c r="H59" i="16" s="1"/>
  <c r="L57" i="16"/>
  <c r="G57" i="16"/>
  <c r="F64" i="16"/>
  <c r="C3" i="16"/>
  <c r="G47" i="16"/>
  <c r="BC31" i="16"/>
  <c r="Z31" i="16"/>
  <c r="BD31" i="16" s="1"/>
  <c r="BC30" i="16"/>
  <c r="Z30" i="16"/>
  <c r="BC29" i="16"/>
  <c r="Z29" i="16"/>
  <c r="BC28" i="16"/>
  <c r="BC27" i="16"/>
  <c r="Z27" i="16"/>
  <c r="BC26" i="16"/>
  <c r="Z25" i="16" s="1"/>
  <c r="BC25" i="16"/>
  <c r="BD25" i="16" s="1"/>
  <c r="BC24" i="16"/>
  <c r="Z23" i="16" s="1"/>
  <c r="BC23" i="16"/>
  <c r="BC22" i="16"/>
  <c r="BC21" i="16"/>
  <c r="BC20" i="16"/>
  <c r="Z20" i="16"/>
  <c r="BC19" i="16"/>
  <c r="Z19" i="16"/>
  <c r="BC18" i="16"/>
  <c r="Z17" i="16" s="1"/>
  <c r="BC17" i="16"/>
  <c r="BC16" i="16"/>
  <c r="BC15" i="16"/>
  <c r="BC14" i="16"/>
  <c r="BC13" i="16"/>
  <c r="BC12" i="16"/>
  <c r="Z12" i="16"/>
  <c r="BC11" i="16"/>
  <c r="BD11" i="16" s="1"/>
  <c r="Z11" i="16"/>
  <c r="BC10" i="16"/>
  <c r="BC9" i="16"/>
  <c r="BD9" i="16" s="1"/>
  <c r="BC8" i="16"/>
  <c r="BD8" i="16" s="1"/>
  <c r="BW7" i="16"/>
  <c r="BV7" i="16"/>
  <c r="BU7" i="16"/>
  <c r="BT7" i="16"/>
  <c r="BS7" i="16"/>
  <c r="BR7" i="16"/>
  <c r="BQ7" i="16"/>
  <c r="BP7" i="16"/>
  <c r="BO7" i="16"/>
  <c r="BN7" i="16"/>
  <c r="BM7" i="16"/>
  <c r="BL7" i="16"/>
  <c r="BK7" i="16"/>
  <c r="BJ7" i="16"/>
  <c r="BI7" i="16"/>
  <c r="BH7" i="16"/>
  <c r="BG7" i="16"/>
  <c r="BF7" i="16"/>
  <c r="BE7" i="16"/>
  <c r="BB7" i="16"/>
  <c r="BA7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F7" i="16"/>
  <c r="AE7" i="16"/>
  <c r="AD7" i="16"/>
  <c r="AC7" i="16"/>
  <c r="AB7" i="16"/>
  <c r="AA7" i="16"/>
  <c r="F57" i="15"/>
  <c r="L57" i="15"/>
  <c r="Z28" i="16" l="1"/>
  <c r="BD28" i="16" s="1"/>
  <c r="BD27" i="16"/>
  <c r="BD23" i="16"/>
  <c r="Z22" i="16"/>
  <c r="Z21" i="16"/>
  <c r="BD20" i="16"/>
  <c r="BD19" i="16"/>
  <c r="BD30" i="16"/>
  <c r="BD29" i="16"/>
  <c r="Z14" i="16"/>
  <c r="Z13" i="16"/>
  <c r="BD12" i="16"/>
  <c r="F56" i="15"/>
  <c r="F64" i="15" s="1"/>
  <c r="H57" i="16"/>
  <c r="G64" i="16"/>
  <c r="F67" i="16" s="1"/>
  <c r="F59" i="17"/>
  <c r="C6" i="16"/>
  <c r="G48" i="16"/>
  <c r="G50" i="16" s="1"/>
  <c r="F65" i="16"/>
  <c r="F66" i="16" s="1"/>
  <c r="BD17" i="16"/>
  <c r="Z15" i="16"/>
  <c r="BD15" i="16" s="1"/>
  <c r="Z10" i="16"/>
  <c r="Z18" i="16"/>
  <c r="BD18" i="16" s="1"/>
  <c r="Z26" i="16"/>
  <c r="BD26" i="16" s="1"/>
  <c r="C5" i="16"/>
  <c r="Z16" i="16"/>
  <c r="BD16" i="16" s="1"/>
  <c r="Z24" i="16"/>
  <c r="H56" i="16"/>
  <c r="BD24" i="16"/>
  <c r="C53" i="15"/>
  <c r="C52" i="15"/>
  <c r="C3" i="15" s="1"/>
  <c r="C6" i="15"/>
  <c r="G63" i="15"/>
  <c r="H63" i="15" s="1"/>
  <c r="G62" i="15"/>
  <c r="H62" i="15" s="1"/>
  <c r="G61" i="15"/>
  <c r="H61" i="15" s="1"/>
  <c r="G59" i="15"/>
  <c r="H59" i="15" s="1"/>
  <c r="G58" i="15"/>
  <c r="H58" i="15" s="1"/>
  <c r="G57" i="15"/>
  <c r="H57" i="15" s="1"/>
  <c r="BC31" i="15"/>
  <c r="Z31" i="15"/>
  <c r="BC30" i="15"/>
  <c r="Z29" i="15" s="1"/>
  <c r="Z30" i="15"/>
  <c r="BC29" i="15"/>
  <c r="BC28" i="15"/>
  <c r="Z27" i="15" s="1"/>
  <c r="Z28" i="15"/>
  <c r="BC27" i="15"/>
  <c r="Z26" i="15" s="1"/>
  <c r="BC26" i="15"/>
  <c r="BC25" i="15"/>
  <c r="Z24" i="15" s="1"/>
  <c r="BC24" i="15"/>
  <c r="BC23" i="15"/>
  <c r="Z22" i="15" s="1"/>
  <c r="Z23" i="15"/>
  <c r="BC22" i="15"/>
  <c r="Z21" i="15" s="1"/>
  <c r="BC21" i="15"/>
  <c r="BC20" i="15"/>
  <c r="Z19" i="15" s="1"/>
  <c r="Z20" i="15"/>
  <c r="BC19" i="15"/>
  <c r="BC18" i="15"/>
  <c r="Z18" i="15"/>
  <c r="BC17" i="15"/>
  <c r="Z16" i="15" s="1"/>
  <c r="Z17" i="15"/>
  <c r="BC16" i="15"/>
  <c r="BC15" i="15"/>
  <c r="Z14" i="15" s="1"/>
  <c r="Z15" i="15"/>
  <c r="BC14" i="15"/>
  <c r="Z13" i="15" s="1"/>
  <c r="BC13" i="15"/>
  <c r="BC12" i="15"/>
  <c r="Z11" i="15" s="1"/>
  <c r="Z12" i="15"/>
  <c r="BC11" i="15"/>
  <c r="BC10" i="15"/>
  <c r="Z10" i="15"/>
  <c r="BC9" i="15"/>
  <c r="BC8" i="15"/>
  <c r="BW7" i="15"/>
  <c r="BV7" i="15"/>
  <c r="BU7" i="15"/>
  <c r="BT7" i="15"/>
  <c r="BS7" i="15"/>
  <c r="BR7" i="15"/>
  <c r="BQ7" i="15"/>
  <c r="BP7" i="15"/>
  <c r="BO7" i="15"/>
  <c r="BN7" i="15"/>
  <c r="BM7" i="15"/>
  <c r="BL7" i="15"/>
  <c r="BK7" i="15"/>
  <c r="BJ7" i="15"/>
  <c r="BI7" i="15"/>
  <c r="BH7" i="15"/>
  <c r="BG7" i="15"/>
  <c r="BF7" i="15"/>
  <c r="BE7" i="15"/>
  <c r="BB7" i="15"/>
  <c r="BA7" i="15"/>
  <c r="AZ7" i="15"/>
  <c r="AY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K7" i="15"/>
  <c r="AJ7" i="15"/>
  <c r="AI7" i="15"/>
  <c r="AH7" i="15"/>
  <c r="AG7" i="15"/>
  <c r="AF7" i="15"/>
  <c r="AE7" i="15"/>
  <c r="AD7" i="15"/>
  <c r="AC7" i="15"/>
  <c r="AB7" i="15"/>
  <c r="AA7" i="15"/>
  <c r="Z31" i="12"/>
  <c r="AB7" i="12"/>
  <c r="AC7" i="12"/>
  <c r="AD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BA7" i="12"/>
  <c r="BB7" i="12"/>
  <c r="BC7" i="12"/>
  <c r="BD7" i="12"/>
  <c r="BE7" i="12"/>
  <c r="BG7" i="12"/>
  <c r="BH7" i="12"/>
  <c r="BI7" i="12"/>
  <c r="BJ7" i="12"/>
  <c r="BK7" i="12"/>
  <c r="BL7" i="12"/>
  <c r="BM7" i="12"/>
  <c r="BN7" i="12"/>
  <c r="BO7" i="12"/>
  <c r="BP7" i="12"/>
  <c r="BQ7" i="12"/>
  <c r="BR7" i="12"/>
  <c r="BS7" i="12"/>
  <c r="BT7" i="12"/>
  <c r="AA7" i="12"/>
  <c r="BD22" i="16" l="1"/>
  <c r="BD21" i="16"/>
  <c r="BD14" i="16"/>
  <c r="BD13" i="16"/>
  <c r="BD10" i="16"/>
  <c r="BD32" i="16" s="1"/>
  <c r="C7" i="16"/>
  <c r="H56" i="15"/>
  <c r="BD31" i="15"/>
  <c r="BD30" i="15"/>
  <c r="BD26" i="15"/>
  <c r="Z25" i="15"/>
  <c r="BD24" i="15"/>
  <c r="BD21" i="15"/>
  <c r="BD19" i="15"/>
  <c r="BD18" i="15"/>
  <c r="BD17" i="15"/>
  <c r="BD13" i="15"/>
  <c r="BD11" i="15"/>
  <c r="BD10" i="15"/>
  <c r="BD9" i="15"/>
  <c r="BD8" i="15"/>
  <c r="G67" i="16"/>
  <c r="F70" i="16"/>
  <c r="H64" i="16"/>
  <c r="F65" i="15"/>
  <c r="BD29" i="15"/>
  <c r="BD16" i="15"/>
  <c r="BD14" i="15"/>
  <c r="BD22" i="15"/>
  <c r="BD27" i="15"/>
  <c r="BD20" i="15"/>
  <c r="BD15" i="15"/>
  <c r="BD28" i="15"/>
  <c r="BD12" i="15"/>
  <c r="BD23" i="15"/>
  <c r="C5" i="15"/>
  <c r="C7" i="15" s="1"/>
  <c r="BD25" i="15" l="1"/>
  <c r="BD32" i="15"/>
  <c r="F66" i="15"/>
  <c r="G48" i="15"/>
  <c r="G50" i="15" s="1"/>
  <c r="G60" i="15"/>
  <c r="G64" i="15" s="1"/>
  <c r="F67" i="15" s="1"/>
  <c r="F70" i="15" s="1"/>
  <c r="H60" i="15" l="1"/>
  <c r="H64" i="15" s="1"/>
  <c r="C64" i="12"/>
  <c r="C3" i="12"/>
  <c r="F75" i="12"/>
  <c r="G74" i="12"/>
  <c r="H74" i="12" s="1"/>
  <c r="G73" i="12"/>
  <c r="H73" i="12" s="1"/>
  <c r="G72" i="12"/>
  <c r="H72" i="12" s="1"/>
  <c r="G70" i="12"/>
  <c r="H70" i="12" s="1"/>
  <c r="G69" i="12"/>
  <c r="H69" i="12" s="1"/>
  <c r="G68" i="12"/>
  <c r="H68" i="12" s="1"/>
  <c r="G67" i="12"/>
  <c r="C5" i="12" l="1"/>
  <c r="F76" i="12"/>
  <c r="H67" i="12"/>
  <c r="C6" i="12"/>
  <c r="F77" i="12" l="1"/>
  <c r="C7" i="12"/>
  <c r="R83" i="11" l="1"/>
  <c r="R82" i="11"/>
  <c r="G82" i="11"/>
  <c r="R81" i="11"/>
  <c r="G81" i="11"/>
  <c r="H81" i="11" s="1"/>
  <c r="R80" i="11"/>
  <c r="G80" i="11"/>
  <c r="H80" i="11" s="1"/>
  <c r="R79" i="11"/>
  <c r="G79" i="11"/>
  <c r="H79" i="11" s="1"/>
  <c r="R78" i="11"/>
  <c r="G78" i="11"/>
  <c r="H78" i="11" s="1"/>
  <c r="R77" i="11"/>
  <c r="G77" i="11"/>
  <c r="H77" i="11" s="1"/>
  <c r="Q76" i="11"/>
  <c r="Q85" i="11" s="1"/>
  <c r="P76" i="11"/>
  <c r="P85" i="11" s="1"/>
  <c r="O76" i="11"/>
  <c r="O85" i="11" s="1"/>
  <c r="N76" i="11"/>
  <c r="G76" i="11"/>
  <c r="N75" i="11"/>
  <c r="R75" i="11" s="1"/>
  <c r="G75" i="11"/>
  <c r="G66" i="11"/>
  <c r="Q9" i="11"/>
  <c r="P9" i="11"/>
  <c r="O9" i="11"/>
  <c r="N9" i="11"/>
  <c r="C3" i="11"/>
  <c r="H42" i="10"/>
  <c r="G40" i="10"/>
  <c r="G39" i="10"/>
  <c r="H39" i="10" s="1"/>
  <c r="G37" i="10"/>
  <c r="H37" i="10" s="1"/>
  <c r="G36" i="10"/>
  <c r="G35" i="10"/>
  <c r="G34" i="10"/>
  <c r="R31" i="9"/>
  <c r="R30" i="9"/>
  <c r="G30" i="9"/>
  <c r="H30" i="9" s="1"/>
  <c r="R28" i="9"/>
  <c r="G28" i="9"/>
  <c r="R27" i="9"/>
  <c r="G27" i="9"/>
  <c r="H27" i="9" s="1"/>
  <c r="R26" i="9"/>
  <c r="G26" i="9"/>
  <c r="R25" i="9"/>
  <c r="G25" i="9"/>
  <c r="H25" i="9" s="1"/>
  <c r="R24" i="9"/>
  <c r="Q23" i="9"/>
  <c r="Q33" i="9" s="1"/>
  <c r="P23" i="9"/>
  <c r="P33" i="9" s="1"/>
  <c r="O23" i="9"/>
  <c r="O33" i="9" s="1"/>
  <c r="N23" i="9"/>
  <c r="N22" i="9"/>
  <c r="N33" i="9" s="1"/>
  <c r="G22" i="9"/>
  <c r="G13" i="9"/>
  <c r="C3" i="9"/>
  <c r="H1" i="6"/>
  <c r="Q30" i="5"/>
  <c r="P30" i="5"/>
  <c r="O30" i="5"/>
  <c r="N30" i="5"/>
  <c r="R38" i="5"/>
  <c r="R37" i="5"/>
  <c r="R35" i="5"/>
  <c r="F35" i="5" s="1"/>
  <c r="R34" i="5"/>
  <c r="R33" i="5"/>
  <c r="R32" i="5"/>
  <c r="R31" i="5"/>
  <c r="F31" i="5" s="1"/>
  <c r="F38" i="5" s="1"/>
  <c r="H4" i="8" s="1"/>
  <c r="R76" i="11" l="1"/>
  <c r="R33" i="9"/>
  <c r="R23" i="9"/>
  <c r="G43" i="10"/>
  <c r="F39" i="5"/>
  <c r="I4" i="8" s="1"/>
  <c r="J4" i="8" s="1"/>
  <c r="G83" i="11"/>
  <c r="F86" i="11" s="1"/>
  <c r="H76" i="11"/>
  <c r="H82" i="11"/>
  <c r="H28" i="9"/>
  <c r="H23" i="9"/>
  <c r="H26" i="9"/>
  <c r="G31" i="9"/>
  <c r="H24" i="9"/>
  <c r="H38" i="10"/>
  <c r="H36" i="10"/>
  <c r="H40" i="10"/>
  <c r="H35" i="10"/>
  <c r="F83" i="11"/>
  <c r="C6" i="11" s="1"/>
  <c r="G67" i="11" s="1"/>
  <c r="G69" i="11" s="1"/>
  <c r="H75" i="11"/>
  <c r="C5" i="11"/>
  <c r="R9" i="11"/>
  <c r="N85" i="11"/>
  <c r="R85" i="11" s="1"/>
  <c r="C5" i="10"/>
  <c r="F43" i="10"/>
  <c r="H2" i="8" s="1"/>
  <c r="H34" i="10"/>
  <c r="C5" i="9"/>
  <c r="R22" i="9"/>
  <c r="R30" i="5"/>
  <c r="F34" i="9" l="1"/>
  <c r="F36" i="9" s="1"/>
  <c r="F46" i="10"/>
  <c r="F48" i="10" s="1"/>
  <c r="H43" i="10"/>
  <c r="K2" i="8" s="1"/>
  <c r="C6" i="10"/>
  <c r="G26" i="10" s="1"/>
  <c r="G28" i="10" s="1"/>
  <c r="H83" i="11"/>
  <c r="F84" i="11"/>
  <c r="C7" i="11"/>
  <c r="F44" i="10"/>
  <c r="I2" i="8" s="1"/>
  <c r="F31" i="9"/>
  <c r="H3" i="8" s="1"/>
  <c r="H10" i="8" s="1"/>
  <c r="H22" i="9"/>
  <c r="H31" i="9" s="1"/>
  <c r="K3" i="8" s="1"/>
  <c r="O40" i="5"/>
  <c r="P40" i="5"/>
  <c r="Q40" i="5"/>
  <c r="N29" i="5"/>
  <c r="J2" i="8" l="1"/>
  <c r="C7" i="10"/>
  <c r="F45" i="10"/>
  <c r="F85" i="11"/>
  <c r="N40" i="5"/>
  <c r="R40" i="5" s="1"/>
  <c r="R29" i="5"/>
  <c r="C6" i="9"/>
  <c r="F32" i="9"/>
  <c r="I3" i="8" s="1"/>
  <c r="O9" i="5"/>
  <c r="P9" i="5"/>
  <c r="Q9" i="5"/>
  <c r="N9" i="5"/>
  <c r="L2" i="8" l="1"/>
  <c r="J3" i="8"/>
  <c r="F33" i="9"/>
  <c r="R9" i="5"/>
  <c r="G14" i="9"/>
  <c r="G16" i="9" s="1"/>
  <c r="C7" i="9"/>
  <c r="C3" i="1"/>
  <c r="C3" i="5"/>
  <c r="C5" i="6"/>
  <c r="C5" i="5"/>
  <c r="I20" i="5" s="1"/>
  <c r="Q2" i="8" l="1"/>
  <c r="Q29" i="8" s="1"/>
  <c r="T2" i="8"/>
  <c r="L3" i="8"/>
  <c r="J10" i="8"/>
  <c r="F83" i="1"/>
  <c r="G82" i="1"/>
  <c r="H82" i="1" s="1"/>
  <c r="G81" i="1"/>
  <c r="H81" i="1" s="1"/>
  <c r="G80" i="1"/>
  <c r="H80" i="1" s="1"/>
  <c r="G79" i="1"/>
  <c r="H79" i="1" s="1"/>
  <c r="G78" i="1"/>
  <c r="H78" i="1" s="1"/>
  <c r="G77" i="1"/>
  <c r="H77" i="1" s="1"/>
  <c r="G76" i="1"/>
  <c r="H76" i="1" s="1"/>
  <c r="G75" i="1"/>
  <c r="G37" i="5"/>
  <c r="H37" i="5" s="1"/>
  <c r="G35" i="5"/>
  <c r="H35" i="5" s="1"/>
  <c r="G34" i="5"/>
  <c r="H34" i="5" s="1"/>
  <c r="G33" i="5"/>
  <c r="H33" i="5" s="1"/>
  <c r="G32" i="5"/>
  <c r="H32" i="5" s="1"/>
  <c r="G31" i="5"/>
  <c r="H31" i="5" s="1"/>
  <c r="G30" i="5"/>
  <c r="H30" i="5" s="1"/>
  <c r="G29" i="5"/>
  <c r="G75" i="6"/>
  <c r="G82" i="6"/>
  <c r="H82" i="6" s="1"/>
  <c r="G81" i="6"/>
  <c r="H81" i="6" s="1"/>
  <c r="G80" i="6"/>
  <c r="H80" i="6" s="1"/>
  <c r="G79" i="6"/>
  <c r="H79" i="6" s="1"/>
  <c r="G78" i="6"/>
  <c r="H78" i="6" s="1"/>
  <c r="G77" i="6"/>
  <c r="H77" i="6" s="1"/>
  <c r="G76" i="6"/>
  <c r="H76" i="6" s="1"/>
  <c r="F83" i="6"/>
  <c r="F84" i="6" l="1"/>
  <c r="F84" i="1"/>
  <c r="C6" i="1"/>
  <c r="T3" i="8"/>
  <c r="G83" i="6"/>
  <c r="F86" i="6" s="1"/>
  <c r="H75" i="6"/>
  <c r="H83" i="6" s="1"/>
  <c r="G38" i="5"/>
  <c r="C6" i="5"/>
  <c r="G83" i="1"/>
  <c r="F86" i="1" s="1"/>
  <c r="H75" i="1"/>
  <c r="H83" i="1" s="1"/>
  <c r="H29" i="5"/>
  <c r="H38" i="5" s="1"/>
  <c r="K4" i="8" s="1"/>
  <c r="F85" i="6" l="1"/>
  <c r="F85" i="1"/>
  <c r="K10" i="8"/>
  <c r="L4" i="8"/>
  <c r="F41" i="5"/>
  <c r="F43" i="5" s="1"/>
  <c r="F40" i="5"/>
  <c r="L10" i="8" l="1"/>
  <c r="I10" i="8" s="1"/>
  <c r="T4" i="8"/>
  <c r="G32" i="21"/>
  <c r="G33" i="21" s="1"/>
  <c r="G66" i="6"/>
  <c r="G67" i="6" s="1"/>
  <c r="G69" i="6" s="1"/>
  <c r="C7" i="6"/>
  <c r="G21" i="5"/>
  <c r="G23" i="5" s="1"/>
  <c r="C7" i="5"/>
  <c r="G66" i="1"/>
  <c r="G67" i="1" s="1"/>
  <c r="F34" i="8" l="1"/>
  <c r="G69" i="1"/>
  <c r="C7" i="1"/>
  <c r="BF7" i="12"/>
  <c r="Z20" i="12"/>
  <c r="Z26" i="12"/>
  <c r="AY26" i="12" s="1"/>
  <c r="Z15" i="12"/>
  <c r="Z17" i="12"/>
  <c r="AY17" i="12" s="1"/>
  <c r="Z16" i="12"/>
  <c r="Z19" i="12"/>
  <c r="AY19" i="12" s="1"/>
  <c r="Z24" i="12"/>
  <c r="AY24" i="12" s="1"/>
  <c r="Z25" i="12"/>
  <c r="Z12" i="12"/>
  <c r="AY12" i="12" s="1"/>
  <c r="Z10" i="12"/>
  <c r="Z18" i="12"/>
  <c r="Z13" i="12"/>
  <c r="Z14" i="12"/>
  <c r="Z21" i="12"/>
  <c r="Z27" i="12"/>
  <c r="Z28" i="12"/>
  <c r="AY28" i="12" s="1"/>
  <c r="Z22" i="12"/>
  <c r="Z23" i="12"/>
  <c r="Z30" i="12"/>
  <c r="AY31" i="12"/>
  <c r="Z29" i="12"/>
  <c r="Z11" i="12"/>
  <c r="AY11" i="12" s="1"/>
  <c r="AY9" i="12"/>
  <c r="BV32" i="12" l="1"/>
  <c r="AY25" i="12"/>
  <c r="AY32" i="12" s="1"/>
  <c r="AY34" i="12" s="1"/>
  <c r="G25" i="12" l="1"/>
  <c r="G58" i="12" l="1"/>
  <c r="G59" i="12" s="1"/>
  <c r="G61" i="12" s="1"/>
  <c r="G71" i="12"/>
  <c r="H71" i="12" s="1"/>
  <c r="H75" i="12" s="1"/>
  <c r="G75" i="12" l="1"/>
  <c r="F78" i="12" l="1"/>
  <c r="F81" i="12" s="1"/>
  <c r="D35" i="8"/>
  <c r="F35" i="8" s="1"/>
  <c r="G78" i="12" l="1"/>
  <c r="H24" i="20"/>
</calcChain>
</file>

<file path=xl/sharedStrings.xml><?xml version="1.0" encoding="utf-8"?>
<sst xmlns="http://schemas.openxmlformats.org/spreadsheetml/2006/main" count="2709" uniqueCount="644">
  <si>
    <t>Factory/Company</t>
  </si>
  <si>
    <t>Start Date</t>
  </si>
  <si>
    <t>Project Name</t>
  </si>
  <si>
    <t>Sale Up Date</t>
  </si>
  <si>
    <t>Quotation No.</t>
  </si>
  <si>
    <t>PROJECT BUDGET RECORD</t>
  </si>
  <si>
    <t>INVOICE (%)</t>
  </si>
  <si>
    <t>Contract Price</t>
  </si>
  <si>
    <t>Budget Price</t>
  </si>
  <si>
    <t>PROFIT</t>
  </si>
  <si>
    <t>ACTUAL</t>
  </si>
  <si>
    <t>Vendor  Name</t>
  </si>
  <si>
    <t>Material Number</t>
  </si>
  <si>
    <t>Description</t>
  </si>
  <si>
    <t>Amount</t>
  </si>
  <si>
    <t>Updated By</t>
  </si>
  <si>
    <t>Date</t>
  </si>
  <si>
    <t>K.Kowit</t>
  </si>
  <si>
    <t>TOTAL COST</t>
  </si>
  <si>
    <t>BALANCE</t>
  </si>
  <si>
    <t>All BALANCE</t>
  </si>
  <si>
    <t>PROCHAIN</t>
  </si>
  <si>
    <t>JOWLE Factory</t>
  </si>
  <si>
    <t>No.</t>
    <phoneticPr fontId="0"/>
  </si>
  <si>
    <t>Description</t>
    <phoneticPr fontId="0"/>
  </si>
  <si>
    <t>MATERIALS</t>
  </si>
  <si>
    <t>SUB CONTRACTOR</t>
  </si>
  <si>
    <t>Duty Stamp</t>
  </si>
  <si>
    <t>Code</t>
  </si>
  <si>
    <t>สายไฟ FRC สำหรับระบบ Fire Alarm</t>
  </si>
  <si>
    <t>NRE</t>
  </si>
  <si>
    <t>SUV-250103489</t>
  </si>
  <si>
    <t>Text/Quo.No.</t>
  </si>
  <si>
    <t>SHIN FONG Factory</t>
  </si>
  <si>
    <t>บริษัท คว๊อด อิเลคทริค จำกัด</t>
  </si>
  <si>
    <t>หม้อแปลงไฟฟ้าระบบระบายความร้อนด้วยน้ำมัน</t>
  </si>
  <si>
    <t>QT20250304150</t>
  </si>
  <si>
    <t>k.milk</t>
  </si>
  <si>
    <t xml:space="preserve"> N.R.E</t>
  </si>
  <si>
    <t>สาย Max-foh-l 1x2.5 sqmm.</t>
  </si>
  <si>
    <t>SUV-250103784</t>
  </si>
  <si>
    <t>เมธีกุล จำกัด</t>
  </si>
  <si>
    <t>QT68030968</t>
  </si>
  <si>
    <t xml:space="preserve">สายไฟ THW 1.5 MM^2 </t>
  </si>
  <si>
    <t>60227 IEC01 THW</t>
  </si>
  <si>
    <t>QT68030869</t>
  </si>
  <si>
    <t>QT68030868</t>
  </si>
  <si>
    <t>STAFF EXPENSE</t>
  </si>
  <si>
    <t>HEAVY EQUIPMENT</t>
  </si>
  <si>
    <t>RENTAL</t>
  </si>
  <si>
    <t>STAFF EXPENSE (Salary)</t>
  </si>
  <si>
    <t>OFFICE EXPENSE</t>
  </si>
  <si>
    <t>ENTERTAIN</t>
  </si>
  <si>
    <t>MISCELLANEOUS</t>
  </si>
  <si>
    <t>Budget</t>
  </si>
  <si>
    <t>Expense Record</t>
  </si>
  <si>
    <t>Balance</t>
  </si>
  <si>
    <t>Remark</t>
  </si>
  <si>
    <t>Total Profit</t>
  </si>
  <si>
    <t xml:space="preserve">Total </t>
  </si>
  <si>
    <t>% Profit</t>
  </si>
  <si>
    <t>สายไฟ 60227 IEC01 THW</t>
  </si>
  <si>
    <t>มาบตาพุต ร้านอาหาร ร้านกาแฟ อาคาร D และ อาคาร A</t>
  </si>
  <si>
    <t>No.</t>
  </si>
  <si>
    <t>Offer No.</t>
  </si>
  <si>
    <t>Client</t>
  </si>
  <si>
    <t>Contact price</t>
  </si>
  <si>
    <t>Balance from record</t>
  </si>
  <si>
    <t>Gross Profit</t>
  </si>
  <si>
    <t>Inchart</t>
  </si>
  <si>
    <t>Job Complete</t>
  </si>
  <si>
    <t>Contact Total</t>
  </si>
  <si>
    <t>Contact</t>
  </si>
  <si>
    <t>Profit percent</t>
  </si>
  <si>
    <t>Job Code.</t>
  </si>
  <si>
    <t>สรรพากร</t>
  </si>
  <si>
    <t>Job Code</t>
  </si>
  <si>
    <t>SF-001</t>
  </si>
  <si>
    <t>% profit</t>
  </si>
  <si>
    <t>Job. Code.</t>
  </si>
  <si>
    <t>B-A</t>
  </si>
  <si>
    <t>B-D</t>
  </si>
  <si>
    <t>ร้านกาแฟ</t>
  </si>
  <si>
    <t>ร้านอาหาร</t>
  </si>
  <si>
    <t>PO No.</t>
  </si>
  <si>
    <t>PO6800405</t>
  </si>
  <si>
    <t>PA6800158</t>
  </si>
  <si>
    <t>มาบตาพุต ร้านกาแฟ</t>
  </si>
  <si>
    <t>Prime Power Construction</t>
  </si>
  <si>
    <t>Siriprapa</t>
  </si>
  <si>
    <t>PQM meter / EDMI Panel</t>
  </si>
  <si>
    <t>68/05-05A-R1</t>
  </si>
  <si>
    <t>PO2025050018</t>
  </si>
  <si>
    <t>อุปกรณ์ HV</t>
  </si>
  <si>
    <t>Precise</t>
  </si>
  <si>
    <t>จ้างตัดคอนกรีต</t>
  </si>
  <si>
    <t>บริษัท ธราดล 2555 จำกัด</t>
  </si>
  <si>
    <t>PO2025060004</t>
  </si>
  <si>
    <t>หจก. บีเอ็ม แอนด์ เบนซ์ ค้าวัสดุ (อยุธยา)</t>
  </si>
  <si>
    <t>999INV-2506-0160</t>
  </si>
  <si>
    <t>เช่าเครื่องตัดปูน</t>
  </si>
  <si>
    <t>QR-00184228</t>
  </si>
  <si>
    <t>ส.อรุน</t>
  </si>
  <si>
    <t>QT-25001984</t>
  </si>
  <si>
    <t>เสาคอนกรีต</t>
  </si>
  <si>
    <t>ซ่อมรถ</t>
  </si>
  <si>
    <t>ซ่อมรถสว่าน</t>
  </si>
  <si>
    <t>BL2025060012</t>
  </si>
  <si>
    <t>หัวเพชร เจาะดิน</t>
  </si>
  <si>
    <t>กระสอบปุ๋ย</t>
  </si>
  <si>
    <t>ชะแลง ไม้กวาด กรรไกรตัดเหล็ก</t>
  </si>
  <si>
    <t>เครื่องมือต่อสายไฟ</t>
  </si>
  <si>
    <t>ชุด KIT ต่อสาย 3M</t>
  </si>
  <si>
    <t>ลูกถ้วยหัวเสา และเหล็ก คอร์น</t>
  </si>
  <si>
    <t>น๊อตประกอบหัวเสา</t>
  </si>
  <si>
    <t>ณัฐภูมิ อีควิปเม้นท์ จำกัด</t>
  </si>
  <si>
    <t>กิจพูนชัย จำกัด</t>
  </si>
  <si>
    <t>ฮาร์ดแวร์เฮาส์</t>
  </si>
  <si>
    <t>ร้านนครสวรรค์</t>
  </si>
  <si>
    <t>SSI</t>
  </si>
  <si>
    <t>ร้านค้าอุปกรณ์ก่อสร้าง</t>
  </si>
  <si>
    <t>ค่าซ่อมรถลุงชาย</t>
  </si>
  <si>
    <t>ค่าที่พัก 1 เดือน</t>
  </si>
  <si>
    <t>ค่าแรง</t>
  </si>
  <si>
    <t>บ้านดินทอง</t>
  </si>
  <si>
    <t>เริ่มพักวันที่ 9/6/2025</t>
  </si>
  <si>
    <t>PO</t>
  </si>
  <si>
    <t>Dropfuse 200A</t>
  </si>
  <si>
    <t>PO2025060020 / QNT-2525-02635</t>
  </si>
  <si>
    <t>Name</t>
  </si>
  <si>
    <t>Salary</t>
  </si>
  <si>
    <t>S per Day</t>
  </si>
  <si>
    <t>พี่เอ็ก</t>
  </si>
  <si>
    <t>เอลฟ์</t>
  </si>
  <si>
    <t xml:space="preserve">เฮียนิ้ง </t>
  </si>
  <si>
    <t xml:space="preserve">หนึ่ง </t>
  </si>
  <si>
    <t xml:space="preserve">แอล </t>
  </si>
  <si>
    <t xml:space="preserve">เวฟ </t>
  </si>
  <si>
    <t xml:space="preserve">บาส </t>
  </si>
  <si>
    <t>พี่มิ้ว(แอดมิน)</t>
  </si>
  <si>
    <t>พี่ดี๋</t>
  </si>
  <si>
    <t xml:space="preserve">พี่เจมส์ </t>
  </si>
  <si>
    <t>อั้ม</t>
  </si>
  <si>
    <t>พี่เต้ย (รายวัน)</t>
  </si>
  <si>
    <t>จิว(ฝึกงาน)</t>
  </si>
  <si>
    <t>บอล(ฝึกงาน300)</t>
  </si>
  <si>
    <t>มุก(ฝึกงาน)</t>
  </si>
  <si>
    <t>เบนซ์(ฝึกงาน300)</t>
  </si>
  <si>
    <t>เต๋า(ฝึกงาน)</t>
  </si>
  <si>
    <t>เฟียส(ฝึกงาน)</t>
  </si>
  <si>
    <t>ฟลุ๊ค(ฝึกงาน)</t>
  </si>
  <si>
    <t>เจมส์(ฝึกงาน)</t>
  </si>
  <si>
    <t>นาย(ฝึกงาน)</t>
  </si>
  <si>
    <t>ดิว(ฝึกงาน)</t>
  </si>
  <si>
    <t>น็อต(ฝึกงาน)</t>
  </si>
  <si>
    <t>อาม(ฝึกงาน)</t>
  </si>
  <si>
    <t>ค่าโทรศัพท์</t>
  </si>
  <si>
    <t>ค่าอื่นๆ</t>
  </si>
  <si>
    <t>Mc.Tric Public Company Limited</t>
  </si>
  <si>
    <t>ค่าแรงคนทำงานทั้งหมด</t>
  </si>
  <si>
    <t>22kV. Pole installation</t>
  </si>
  <si>
    <t>22kV. Pole and Underground project</t>
  </si>
  <si>
    <t>บินไปสำรวจหน้างานก่อนเสนอราคา</t>
  </si>
  <si>
    <t>บินไปประชุมกับลูกค้า Kick Off Meeting</t>
  </si>
  <si>
    <t>ค่าเช่ารถ</t>
  </si>
  <si>
    <t>ค่าซ่อมรถเช่า</t>
  </si>
  <si>
    <t>ตั๋วเครื่องบิน</t>
  </si>
  <si>
    <t>ร้านเช่ารถ</t>
  </si>
  <si>
    <t>ค่าโรงแรม</t>
  </si>
  <si>
    <t>โรงแรมบีทู</t>
  </si>
  <si>
    <t>โรงแรม UD</t>
  </si>
  <si>
    <t>บริษัท สยาม โคสทอล อินเตอร์เทรด จำกัด</t>
  </si>
  <si>
    <t>มิเตอร์ Digitakl Meter Schneider</t>
  </si>
  <si>
    <t>ราคาราง Cable Tray</t>
  </si>
  <si>
    <t>Steel Plate</t>
  </si>
  <si>
    <t>ซื้อของทั่วไป</t>
  </si>
  <si>
    <t>Sarawut</t>
  </si>
  <si>
    <t>ทีมงาน SEE พี่โจ๊ส</t>
  </si>
  <si>
    <t>บริษัท เค.ที.เอ็น เอ็นจิเนียริ่ง 1112 จำกัด (สำนักงานใหญ่)</t>
  </si>
  <si>
    <t>งาน UG และลากสาย XLPE</t>
  </si>
  <si>
    <t>PO2025060015</t>
  </si>
  <si>
    <t>PO2025060018</t>
  </si>
  <si>
    <t>PO2025060014</t>
  </si>
  <si>
    <t>PO2025060022</t>
  </si>
  <si>
    <t>MDB Panel</t>
  </si>
  <si>
    <t>0267LC68SC</t>
  </si>
  <si>
    <t>PO2025060023</t>
  </si>
  <si>
    <t>SUV-250107744</t>
  </si>
  <si>
    <t>ราง Cable tray</t>
  </si>
  <si>
    <t>PO2025060021</t>
  </si>
  <si>
    <t>Profit</t>
  </si>
  <si>
    <t>บริษัท สุขี เครน จำกัด</t>
  </si>
  <si>
    <t xml:space="preserve">ค่าซ่อมเกียร์ฝาก สาย PTO พร้อมก้ามปู น้ำมันเกียร์ </t>
  </si>
  <si>
    <t>BL2025060026</t>
  </si>
  <si>
    <t>ค่าแรงพี่แมน</t>
  </si>
  <si>
    <t>ค่าแรงพี่แมนสำหรับทั้งโครงการ</t>
  </si>
  <si>
    <t>Wireway 100x100</t>
  </si>
  <si>
    <t>SUV-250106361</t>
  </si>
  <si>
    <t>Cable THW 2.5</t>
  </si>
  <si>
    <t>SUV-250106507</t>
  </si>
  <si>
    <t>สายทนไฟ</t>
  </si>
  <si>
    <t>SUV-250106381</t>
  </si>
  <si>
    <t>บริษัทไทคิน สตีล จำกัด</t>
  </si>
  <si>
    <t>สตัด หัวน๊อต</t>
  </si>
  <si>
    <t>QT0036013</t>
  </si>
  <si>
    <t>THW 2.5 Sq.mm.</t>
  </si>
  <si>
    <t>SUV-250106333</t>
  </si>
  <si>
    <t>ท่ออ่อน ขาว</t>
  </si>
  <si>
    <t>SUV-250106291</t>
  </si>
  <si>
    <t>สกรูเกลียวเหล็ก 7x1.1/2"</t>
  </si>
  <si>
    <t>QT0035903</t>
  </si>
  <si>
    <t>ท่ออ่อน PVC.</t>
  </si>
  <si>
    <t>SUV-250106117</t>
  </si>
  <si>
    <t>PO2025050011</t>
  </si>
  <si>
    <t>SUV-250105440</t>
  </si>
  <si>
    <t>PO2025050002</t>
  </si>
  <si>
    <t>บริษัท คว็อด อิเลคทริค จำกัด</t>
  </si>
  <si>
    <t>หม้อแปลง 500kVA</t>
  </si>
  <si>
    <t>QT2025050132</t>
  </si>
  <si>
    <t>ท่อ EMT 1/2"</t>
  </si>
  <si>
    <t>SUV-250107305</t>
  </si>
  <si>
    <t>PO2025060017</t>
  </si>
  <si>
    <t>รางซีตื้น ท่อเหล็ก แคล้มปะกับ</t>
  </si>
  <si>
    <t>SUV-250107216</t>
  </si>
  <si>
    <t>PO2025060016</t>
  </si>
  <si>
    <t>SUV-250107052</t>
  </si>
  <si>
    <t>Load Center</t>
  </si>
  <si>
    <t>SUV-250107045</t>
  </si>
  <si>
    <t>PO2025060012</t>
  </si>
  <si>
    <t>SUV-250106549</t>
  </si>
  <si>
    <t>PO2025060003</t>
  </si>
  <si>
    <t>DB Panel for Office</t>
  </si>
  <si>
    <t>SUV-250107837</t>
  </si>
  <si>
    <t>PO2025060027</t>
  </si>
  <si>
    <t>PO2025060026</t>
  </si>
  <si>
    <t>พุกดรอปอิน</t>
  </si>
  <si>
    <t>QT0036688</t>
  </si>
  <si>
    <t>PO2025060025</t>
  </si>
  <si>
    <t>SUV-250102205</t>
  </si>
  <si>
    <t>ท่อเหล็กร้อยสายไฟ EMT 1/2"</t>
  </si>
  <si>
    <t>PO2025060024</t>
  </si>
  <si>
    <t>SUV-250107806</t>
  </si>
  <si>
    <t>แคล้มปะกับ รางไวเวย์ 100x100</t>
  </si>
  <si>
    <t>PO2025050024</t>
  </si>
  <si>
    <t>บริษัท อรุณค้าเหล็ก จำกัด</t>
  </si>
  <si>
    <t>เหล็กซีรางน้ำ 75มม.</t>
  </si>
  <si>
    <t>J680702015</t>
  </si>
  <si>
    <t>กสิกร (ถวิล)</t>
  </si>
  <si>
    <t>กสิกร(สิรภพ)</t>
  </si>
  <si>
    <t>กสิกร (อดิศักดิ์)</t>
  </si>
  <si>
    <t>0461948944</t>
  </si>
  <si>
    <t>กสิกร(ดำรงศักดิ์ นิวาสรัมย์)</t>
  </si>
  <si>
    <t>0893870970</t>
  </si>
  <si>
    <t>กสิกร(นันทพร) แฟน</t>
  </si>
  <si>
    <t>0623566064</t>
  </si>
  <si>
    <t>กสิกร (เกียรติยศ)</t>
  </si>
  <si>
    <t>กสิกร (ศตวรรช)</t>
  </si>
  <si>
    <t>กสิกร (จิรวัฒน์)</t>
  </si>
  <si>
    <t>บริษัท ไทยถาวรรุ่งโรจน์ จำกัด</t>
  </si>
  <si>
    <t>ท่อน้ำ HDPE และข้อต่อ</t>
  </si>
  <si>
    <t>ค่าจ้างทีมงานเร่งด่วนสำหรับงานชัตดาวน์</t>
  </si>
  <si>
    <t>ทำงานวันที่ 12/08/2025</t>
  </si>
  <si>
    <t>ค่าน้ำมัน</t>
  </si>
  <si>
    <t>ค่าเหล็ก</t>
  </si>
  <si>
    <t>ซื้อแผ่นเหล็กเพิ่มอีก 2 แผ่น</t>
  </si>
  <si>
    <t>อุปกรณ์ทั่วไป เครื่องมือ</t>
  </si>
  <si>
    <t>Snake guard</t>
  </si>
  <si>
    <t>ร้านขายของแถวบางคล้า</t>
  </si>
  <si>
    <t>ค่าเลี้ยงข้าวลูกค้า</t>
  </si>
  <si>
    <t xml:space="preserve">PO2025070004 </t>
  </si>
  <si>
    <t>บริษัท ทักษิณคอนกรีต จำกัด</t>
  </si>
  <si>
    <t>ค่าเสาไฟ และคอร์น คอนกรีต</t>
  </si>
  <si>
    <t>ค่า Setting Relay</t>
  </si>
  <si>
    <t>เลี้ยงปิดไซด์</t>
  </si>
  <si>
    <t>ค่าหางปลา และ กราวด์ Rod</t>
  </si>
  <si>
    <t>ค่าแรงทีมงาน</t>
  </si>
  <si>
    <t xml:space="preserve">ค่าน้ำมันรถ </t>
  </si>
  <si>
    <t>ค่าสี และแผ่นเหล็ก</t>
  </si>
  <si>
    <t>สลิง 25</t>
  </si>
  <si>
    <t>บริษัท พนัส เอ็นจิเนียร์ จำกัด (สำนักงานใหญ่)</t>
  </si>
  <si>
    <t>โฮซอ</t>
  </si>
  <si>
    <t>ปากกา คัดเตอร์ ฉากจับไม้</t>
  </si>
  <si>
    <t>Box ยางพร้อมเต้ารับ</t>
  </si>
  <si>
    <t>เหล็กเส้น และลวดผูกเหล็ก</t>
  </si>
  <si>
    <t>ค่าคอนกรีต</t>
  </si>
  <si>
    <t>เลี้ยงลูกค้า</t>
  </si>
  <si>
    <t>ค่าดำเนินการติดตั้งมิเตอร์การไฟฟ้า</t>
  </si>
  <si>
    <t>ค่าดำเนินการ</t>
  </si>
  <si>
    <t>JINHAI Factory</t>
  </si>
  <si>
    <t>BHP Factory</t>
  </si>
  <si>
    <t>ค่าสเนกการ์ด</t>
  </si>
  <si>
    <t>ช่างน้อย</t>
  </si>
  <si>
    <t>ค่า Site test</t>
  </si>
  <si>
    <t>อบรมเซฟตี้ ช่างน้อย</t>
  </si>
  <si>
    <t>ค่าห้องพัก 1</t>
  </si>
  <si>
    <t>ค่าห้องพัก 2</t>
  </si>
  <si>
    <t>โรงแรม B2</t>
  </si>
  <si>
    <t>ค่าน้ำมัน เดินทางไปกลับอุดรธานี</t>
  </si>
  <si>
    <t>ทางด่วน เดินทางไปกลับอุดรธานี</t>
  </si>
  <si>
    <t>ซื้อของใช้ในไซด์</t>
  </si>
  <si>
    <t>ค่ารองเท้าและของใช้ในไซด์</t>
  </si>
  <si>
    <t>Fitting ราง Cable Tray</t>
  </si>
  <si>
    <t>SUV-250109340</t>
  </si>
  <si>
    <t>PO2025080001</t>
  </si>
  <si>
    <t>บริษัท  เป็นเอก เอ็นเนอร์จี เซฟวิ่ง  จำกัด</t>
  </si>
  <si>
    <t>เปลี่ยนหลอดไฟไฮเบย์ CP Warehouse</t>
  </si>
  <si>
    <t>Sale</t>
  </si>
  <si>
    <t>บริษัท เอสซีซี เอ็นจิเนียริ่ง จำกัด</t>
  </si>
  <si>
    <t>สายไฟ VCT3C-1.5 IEC01 2.5</t>
  </si>
  <si>
    <t>DU DEE68-01</t>
  </si>
  <si>
    <t>บริษัท ไทยคิน สตีล (ประเทศไทย) จำกัด</t>
  </si>
  <si>
    <t>อายโบลต์ โซ่เหล็ก 1/4"</t>
  </si>
  <si>
    <t>QT0038726</t>
  </si>
  <si>
    <t>บริษัท เอสเอสไอ เทคโนโลยี จำกัด</t>
  </si>
  <si>
    <t>แคมป์บีม</t>
  </si>
  <si>
    <t>ค่าแรงงานติตดั้ง</t>
  </si>
  <si>
    <t>ค่าจ้างแรงงานช่างอาร์ม</t>
  </si>
  <si>
    <t>Item No.</t>
  </si>
  <si>
    <t>Job No.</t>
  </si>
  <si>
    <t>Client Name</t>
  </si>
  <si>
    <t>Work Description</t>
  </si>
  <si>
    <t>Finish Date</t>
  </si>
  <si>
    <t>Invoice Oct 2025</t>
  </si>
  <si>
    <t>Jatupaspol Co., Ltd.</t>
  </si>
  <si>
    <t>งานค่าแรงติดตั้ง โรงงาน ช.ไพรศาล</t>
  </si>
  <si>
    <t>เปลี่ยน ACB Big-C Udonthani</t>
  </si>
  <si>
    <t>FTECH</t>
  </si>
  <si>
    <t>ค่าแรงรวมงานทดสอบระบบ</t>
  </si>
  <si>
    <t>PM371/25</t>
  </si>
  <si>
    <t>บริษัท ซีอาร์ซี ไทยวัสดุ จำกัด</t>
  </si>
  <si>
    <t>ค่าคอนเนคเตอร์ ท่ออ่อนเหล็ก</t>
  </si>
  <si>
    <t>ท่ออ่อนเหล็ก เคเบิ้ลไท ฮุกสำหรับเซฟตี้เบลต์</t>
  </si>
  <si>
    <t>บริษัท สมาร์ท เบลส์บายส์ จำกัด (สำนักงานใหญ่)</t>
  </si>
  <si>
    <t>เข็มขัดเซฟตี้ แบบเต็มตัว 2 ชุด</t>
  </si>
  <si>
    <t>ค่าน้ำมันรถ</t>
  </si>
  <si>
    <t xml:space="preserve">แก๊ส LPG </t>
  </si>
  <si>
    <t>ค่าทางด่วน</t>
  </si>
  <si>
    <t>ต้องทำเบิก</t>
  </si>
  <si>
    <t>SEE</t>
  </si>
  <si>
    <t>ค่าจ้างงานพี่โจ๊ส เบิกแอดวานซ์ 20%</t>
  </si>
  <si>
    <t>ค่าแรงช่างขอเพิ่ม</t>
  </si>
  <si>
    <t>ค่าของงานหลอดไฟ T8</t>
  </si>
  <si>
    <t>จ่ายแล้ว 3300+5000</t>
  </si>
  <si>
    <t>ค่าขนส่ง ลาล่ามูฟ</t>
  </si>
  <si>
    <t>ค่าดำเนินการ PEN EAK</t>
  </si>
  <si>
    <t>Office Expense</t>
  </si>
  <si>
    <t>ค่าป้ายบริษัท</t>
  </si>
  <si>
    <t>ค่าตรายาง</t>
  </si>
  <si>
    <t>ค่าบัญชี ค่าธรรมเนียมเปิดบริษัท</t>
  </si>
  <si>
    <t>ค่า Power Plug</t>
  </si>
  <si>
    <t>CS1681009-0787</t>
  </si>
  <si>
    <t>เสื้อช็อปบริษัท</t>
  </si>
  <si>
    <t>นามบัตรพิมพ์ 1 ด้าน</t>
  </si>
  <si>
    <t>ค่าของ</t>
  </si>
  <si>
    <t>ค่าขนส่ง</t>
  </si>
  <si>
    <t>SCC</t>
  </si>
  <si>
    <t>ค่าสายไฟ</t>
  </si>
  <si>
    <t>PK Engineering Solution Service Co., Ltd.</t>
  </si>
  <si>
    <t>QTE-DDP-20250004</t>
  </si>
  <si>
    <t>QTE-DDP-20250006</t>
  </si>
  <si>
    <t>QTE-DDP-20250008</t>
  </si>
  <si>
    <t>ค่า Wireway</t>
  </si>
  <si>
    <t>ค่าที่จอดรถ 1</t>
  </si>
  <si>
    <t>ค่าที่จอดรถ 2</t>
  </si>
  <si>
    <t>ค่าแรงพี่ตุ๋ย</t>
  </si>
  <si>
    <t>ลาล่ามูฟส่งของ</t>
  </si>
  <si>
    <t>ต้องเบิก</t>
  </si>
  <si>
    <t>ค่าจ้างงานแก้ไข</t>
  </si>
  <si>
    <t>ค่า Flex อ่อน ใส่ใต้ตู้</t>
  </si>
  <si>
    <t>OTHER</t>
  </si>
  <si>
    <t>จ้างมอสออกแบบโซล่าเซลล์</t>
  </si>
  <si>
    <t xml:space="preserve">Contract </t>
  </si>
  <si>
    <t>งานติดตั้งตู้ และทำ Tray รสา 1 ชั้น 18 19</t>
  </si>
  <si>
    <t>ค่าอุปกรณ์สำหรับงานชั้น 18</t>
  </si>
  <si>
    <t>ค่าที่จอดรถ</t>
  </si>
  <si>
    <t>ค่าแรงทีมช่าง</t>
  </si>
  <si>
    <t>ค่าอุปกรณ์สำหรับงานชั้น 19</t>
  </si>
  <si>
    <t>QTE-DDP-20250023</t>
  </si>
  <si>
    <t>บริษัท ควอลิตี้ มีท โปรเซสซิ่ง จำกัด</t>
  </si>
  <si>
    <t>งาน PM หม้อแปลง 315kVA</t>
  </si>
  <si>
    <t>พี่สุ</t>
  </si>
  <si>
    <t>ค่าแรงพี่สุ</t>
  </si>
  <si>
    <t>งานทดสอบหม้อแปลงและเปลี่ยนมิเตอร์</t>
  </si>
  <si>
    <t>แก๊สรถยนต์</t>
  </si>
  <si>
    <t>ค่าเช่ารถเดินทางไปทำงาน</t>
  </si>
  <si>
    <t>จ่ายตรงเจ้าของรถ</t>
  </si>
  <si>
    <t>ปั้ม Caltex</t>
  </si>
  <si>
    <t>ปั้ม ปตท.</t>
  </si>
  <si>
    <t>รถเก๋งฟิล์ม-เฟิร์น</t>
  </si>
  <si>
    <t>ค่าที่พักและโรงแรม</t>
  </si>
  <si>
    <t>Pen Ake Energy Saving</t>
  </si>
  <si>
    <t>QTE-DDP-20250007</t>
  </si>
  <si>
    <t>-</t>
  </si>
  <si>
    <t>Unity System Co., Ltd.</t>
  </si>
  <si>
    <t>งานค่าแรงผู้รับเหมา</t>
  </si>
  <si>
    <t>A.C.L. Engineering Plus Co., Ltd.</t>
  </si>
  <si>
    <t xml:space="preserve">ฮาร์ดแวร์เฮาส  </t>
  </si>
  <si>
    <t>กุญแจ และโซ่ล็ฮคนั่งร้าน</t>
  </si>
  <si>
    <t>เช่านั่งร้าน</t>
  </si>
  <si>
    <t>บริษัท รุ่งเรืองนั่งร้าน แบบเหล็ก จำกัด</t>
  </si>
  <si>
    <t>ค่านั่งร้านสูญหาย</t>
  </si>
  <si>
    <t>ค่าแรงเดือน 24 - 1 พ.ย.</t>
  </si>
  <si>
    <t>ค่าแรงเดือน 2 -15 พ.ย.</t>
  </si>
  <si>
    <t>รายรับจากลูกค้าเดือน 1-16 พ.ย.</t>
  </si>
  <si>
    <t>รายรับจากลูกค้าเดือน 24 - 2 ต.ค.</t>
  </si>
  <si>
    <t xml:space="preserve">INVOICE </t>
  </si>
  <si>
    <t>INVOICE ค้างจ่าย</t>
  </si>
  <si>
    <t>กำหนดจ่าย</t>
  </si>
  <si>
    <t>งานบ้านห้วยขวาง</t>
  </si>
  <si>
    <t xml:space="preserve">คุณสุทธิพงษ์ </t>
  </si>
  <si>
    <t xml:space="preserve">QTE-DDP-20250026 </t>
  </si>
  <si>
    <t>งานคุณสุทธิพงษ์</t>
  </si>
  <si>
    <t>BPS</t>
  </si>
  <si>
    <t>ท่อ กล่องพลาสติก ปลั๊กไฟ สวิสซ์ไฟ</t>
  </si>
  <si>
    <t>ค่าจ้างพี่ตุ๋ย</t>
  </si>
  <si>
    <t>ค่าแรงเบิกล่วงหน้า</t>
  </si>
  <si>
    <t>ค่าตั๋วเครื่องบิน</t>
  </si>
  <si>
    <t>ค่าเดินทางไปสนามบิน ไป-กลับ</t>
  </si>
  <si>
    <t xml:space="preserve">สัดส่วน </t>
  </si>
  <si>
    <t xml:space="preserve">DDP </t>
  </si>
  <si>
    <t>PEN AKE</t>
  </si>
  <si>
    <t>ค่ากล่องพลาสติ๊ก</t>
  </si>
  <si>
    <t>HMPro</t>
  </si>
  <si>
    <t>ค่าแรง โกวิท</t>
  </si>
  <si>
    <t>ค่าแรง โกวิท 25% ของกำไร</t>
  </si>
  <si>
    <t>จ่ายแล้ว</t>
  </si>
  <si>
    <t>Gross Profit กำไรหลังหักค่าใช้จ่าย</t>
  </si>
  <si>
    <t>รับค่าจ้างแล้ว</t>
  </si>
  <si>
    <t>ค่าส่งจดหมาย</t>
  </si>
  <si>
    <t>ค่าเสื้อคนงาน</t>
  </si>
  <si>
    <t>รายรับจากลูกค้าเดือน 16-30 พ.ย.</t>
  </si>
  <si>
    <t>ค่าน้ำมันรถใช้ในอุดร</t>
  </si>
  <si>
    <t>ค่าแรง 3 วัน</t>
  </si>
  <si>
    <t>จำนวนเงินหลังหักค่าใช้จ่าย</t>
  </si>
  <si>
    <t>ค่าห้องพักคนงาน</t>
  </si>
  <si>
    <t>บริษัทจ่าย</t>
  </si>
  <si>
    <t>ค่าห้องพัก</t>
  </si>
  <si>
    <t>บริษัท ทีจี คอนโทรล จำกัด</t>
  </si>
  <si>
    <t xml:space="preserve">QTE-DDP-20250031 </t>
  </si>
  <si>
    <t>งานติดตั้งพัดลมระบายอากาศ</t>
  </si>
  <si>
    <t>พัดลมระบายอากาศ</t>
  </si>
  <si>
    <t>สวิสซ์ไฟ</t>
  </si>
  <si>
    <t>ฝาหน้าสวิสซ์</t>
  </si>
  <si>
    <t>กล่องพลาสติก</t>
  </si>
  <si>
    <t>สายไฟ 1.5 Sq.mm.</t>
  </si>
  <si>
    <t>ลูกบิดประตู</t>
  </si>
  <si>
    <t>ซิลิโคน</t>
  </si>
  <si>
    <t>ปืนยิงซิลิโคน</t>
  </si>
  <si>
    <t>รางหลังเต่า</t>
  </si>
  <si>
    <t>น๊อตสกรูต่างๆ</t>
  </si>
  <si>
    <t>ค่าจ้างงานช่าง ชัย</t>
  </si>
  <si>
    <t>ถุงมือ ตลับเมตร ฉากวัดไม้</t>
  </si>
  <si>
    <t>ค่าส่งเอกสาร</t>
  </si>
  <si>
    <t>แคมป์ก้ามปู</t>
  </si>
  <si>
    <t>ท่อขาวและของซื้อเพิ่ม</t>
  </si>
  <si>
    <t>บริษัท เมืองไฟฟ้า จำกัด</t>
  </si>
  <si>
    <t>เกลียวปล่อย ปลั๊กคู่ กล่องลอย</t>
  </si>
  <si>
    <t>ซื้อของเพิ่ม ไทวัสดุ</t>
  </si>
  <si>
    <t>ค่าส่งของ</t>
  </si>
  <si>
    <t>ไทวัสดุ</t>
  </si>
  <si>
    <t>LINE MAN</t>
  </si>
  <si>
    <t>งานเสร็จแล้ว</t>
  </si>
  <si>
    <t>ค่าเครื่องมือ สว่านไฟฟ้า เครื่องเจียร</t>
  </si>
  <si>
    <t>บัญชี เดือน 10</t>
  </si>
  <si>
    <t>บัญชี เดือน 11</t>
  </si>
  <si>
    <t>ค่าชุดประแจ คีมย้ำ ใบตัด ใบเจียร</t>
  </si>
  <si>
    <t>ตั้งงบ</t>
  </si>
  <si>
    <t>ค่ามัดจำออฟฟิศ ค่าใช้จ่ายทั้งหมด ชำระค่าเช่าล่วงหน้า 1 เดือน 15,000 บาท เงินประกัน 3 เดือน 16,000 x 3 = 48,000 บาท ชำระรวม 63,000 บาท ทำสัญญาเริ่มข้าพัก 10 มกราคม 2025</t>
  </si>
  <si>
    <t>ยอดรวมไม่รวมค่าออฟฟิศ</t>
  </si>
  <si>
    <t xml:space="preserve">แคมป์ มิเตอร์ </t>
  </si>
  <si>
    <t>ค่าซองจดหมาย ซองน้ำตาล</t>
  </si>
  <si>
    <t>รายรับจากลูกค้าเดือน 1-15 ธ.ค.</t>
  </si>
  <si>
    <t>ค่าแรงงานรายวัน ทำงานติดตั้ง</t>
  </si>
  <si>
    <t>ค่าแรงเดือน ธ.ค. 1-16</t>
  </si>
  <si>
    <t>ค่าแรงเดือน พ.ย. 16-30</t>
  </si>
  <si>
    <t>ค่าป้ายรับสมัครงาน</t>
  </si>
  <si>
    <t>ค่าส่งป้าย</t>
  </si>
  <si>
    <t>ใช้เงินไปแล้ว</t>
  </si>
  <si>
    <t>ยอดกำไรบริษัท</t>
  </si>
  <si>
    <t>ยอดคงเหลือหลังหักค่าใช้จ่ายออฟฟิศ</t>
  </si>
  <si>
    <t>ค่ากระดาษ A4</t>
  </si>
  <si>
    <t>PEK-2500/001</t>
  </si>
  <si>
    <t>JPP-2500/001</t>
  </si>
  <si>
    <t>PEK-2500/002</t>
  </si>
  <si>
    <t>PKE-2500/001</t>
  </si>
  <si>
    <t>QMP-2500/001</t>
  </si>
  <si>
    <t>SUT-2500/001</t>
  </si>
  <si>
    <t>UNT-2500/001</t>
  </si>
  <si>
    <t>PKE-2500/002</t>
  </si>
  <si>
    <t>UNT-2601/001</t>
  </si>
  <si>
    <t>JEP-2601/001</t>
  </si>
  <si>
    <t>DDP-2026000001</t>
  </si>
  <si>
    <t>DDP-2026000002</t>
  </si>
  <si>
    <t>บริษัท เจตภัทร คอนสตรัคชั่น แอนด์ ดีไซน์ จำกัด</t>
  </si>
  <si>
    <t>งานติดตั้งคอนโด The Line Vibe ห้อง549</t>
  </si>
  <si>
    <t>Thai Wassadu</t>
  </si>
  <si>
    <t>สีและเครื่องมือ</t>
  </si>
  <si>
    <t>ค่าปรับจากงานเสียหายในห้องลูกค้า</t>
  </si>
  <si>
    <t>ค่าซื้อทีวีใหม่ให้ลุกค้า</t>
  </si>
  <si>
    <t xml:space="preserve">ค่าแรงช่างกั้ง </t>
  </si>
  <si>
    <t>ค่าแรงช่างมาช่วยทำผนังสีน้ำเงิน และเก็บรายละเอียด</t>
  </si>
  <si>
    <t>ค่าของซื้อเพิ่ม ซื้อบันได</t>
  </si>
  <si>
    <t>ค่าสีซื้อเพิ่มใช้แก้ไขงานทำสี</t>
  </si>
  <si>
    <t>ช่างกั้ง</t>
  </si>
  <si>
    <t>ช่างเล็ก</t>
  </si>
  <si>
    <t>Shoppy</t>
  </si>
  <si>
    <t>ค่าแปลงทาสี</t>
  </si>
  <si>
    <t>ค่าซื้อของและค่าไปทำคอนโดอีกที่หนึ่ง</t>
  </si>
  <si>
    <t>MEGA Home</t>
  </si>
  <si>
    <t>ค่าซิลิโคน สำหรับเก็บงาน</t>
  </si>
  <si>
    <t>งานค่าแรงผู้รับเหมา รพ.ภัทรเวช</t>
  </si>
  <si>
    <t>รายรับจากลูกค้าเดือน 8-15 ม.ค.</t>
  </si>
  <si>
    <t>ค่าแรง ACL.</t>
  </si>
  <si>
    <t>TMD-2601/001</t>
  </si>
  <si>
    <t>DDP-2026000003</t>
  </si>
  <si>
    <t>Thai Meidensha Co., Ltd.</t>
  </si>
  <si>
    <t>งาน PM Test Protection Relay</t>
  </si>
  <si>
    <t>ค่าแรงทีมเทส</t>
  </si>
  <si>
    <t>TMD-2601/002</t>
  </si>
  <si>
    <t>งานรถไฟฟ้าสายสีส้ม สำรวจหน้างาน</t>
  </si>
  <si>
    <t>ค่าอุปกรณ์เซฟตี้ และบันได</t>
  </si>
  <si>
    <t>โฮมโปร พระราม 9</t>
  </si>
  <si>
    <t>ค่าแรงงวดงานที่ 1</t>
  </si>
  <si>
    <t>ค่าแรงงวดงานที่ 2</t>
  </si>
  <si>
    <t>ค่าแรงงวดงานที่ 3</t>
  </si>
  <si>
    <t>ค่าแรงงวดงานที่ 4</t>
  </si>
  <si>
    <t>หมวกเซฟตี้และชุดถถังปั่นไมโคร</t>
  </si>
  <si>
    <t>หน้ากากอนามัย แว่นตากันสะเก็ด</t>
  </si>
  <si>
    <t>QTE-DDP-2026000XX</t>
  </si>
  <si>
    <t>งาน Manday ลากสาย Gulf</t>
  </si>
  <si>
    <t>รายรับจากลูกค้าเดือน 16-31 ม.ค.</t>
  </si>
  <si>
    <t>รายรับจากลูกค้าเดือน 1-16  ก.พ.</t>
  </si>
  <si>
    <t xml:space="preserve">ค่าอุปกรณ์เซฟตี้ </t>
  </si>
  <si>
    <t>MEGA Home ระยอง</t>
  </si>
  <si>
    <t>ค่าแรงช่าง 3 คน</t>
  </si>
  <si>
    <t>ช่างชัย</t>
  </si>
  <si>
    <t>วัน</t>
  </si>
  <si>
    <t>ช่างออม</t>
  </si>
  <si>
    <t>ช่างบอล</t>
  </si>
  <si>
    <t>TMD-2601/003</t>
  </si>
  <si>
    <t xml:space="preserve">งาน PM Honda </t>
  </si>
  <si>
    <t>SRP-2601/001</t>
  </si>
  <si>
    <t>Siriplace นครปฐม</t>
  </si>
  <si>
    <t>งานติตดั้งลากสายเมนสำหรับลานจอดรถ</t>
  </si>
  <si>
    <t>PEK-2601/001</t>
  </si>
  <si>
    <t>งานต่อเติมข้างบ้าน</t>
  </si>
  <si>
    <t>งานเทปูน ทำพื้นและคาน</t>
  </si>
  <si>
    <t>PK-ESS</t>
  </si>
  <si>
    <t>TMD</t>
  </si>
  <si>
    <t>Khun Ma</t>
  </si>
  <si>
    <t>งาน Turnkey งานติดตั้งระบบไฟฟ้า UPS โรงพยาบาลการไฟฟ้าสามเสน</t>
  </si>
  <si>
    <t>งานติดตั้งระบบโซล่าร์เซลล์ บนหลังคา 10kW + Battery 21kW</t>
  </si>
  <si>
    <t>%</t>
  </si>
  <si>
    <t>% Complete</t>
  </si>
  <si>
    <t>งานติดตั้งระบบไฟฟ้า ระบบแจ้งเตือนเพลิงไหม้ Depot ORL MWS</t>
  </si>
  <si>
    <t>Khun Ken</t>
  </si>
  <si>
    <t>งานเพิ่มแบตเตอรี่สำหรับโซล่าร์เซลล์บ้าน</t>
  </si>
  <si>
    <t>ค่าใช้จ่าย</t>
  </si>
  <si>
    <t>รัชดา 36</t>
  </si>
  <si>
    <t>บ้านคุณเม รัชดา 36</t>
  </si>
  <si>
    <t>ค่าติดตั้งอุปกรณ์</t>
  </si>
  <si>
    <t>ค่าแผง</t>
  </si>
  <si>
    <t xml:space="preserve">Aof </t>
  </si>
  <si>
    <t>เงินเดือน</t>
  </si>
  <si>
    <t>Overwash</t>
  </si>
  <si>
    <t>อั๋น</t>
  </si>
  <si>
    <t>เงินสด</t>
  </si>
  <si>
    <t>งานติดตั้งท่อลากสายแอร์ OCC</t>
  </si>
  <si>
    <t>บ้านคุณเม</t>
  </si>
  <si>
    <t>ร้าน Over Wash</t>
  </si>
  <si>
    <t>TMD-2601/004</t>
  </si>
  <si>
    <t>TMD-2601/005</t>
  </si>
  <si>
    <t>SOL-2604/01</t>
  </si>
  <si>
    <t>SOL-2604/02</t>
  </si>
  <si>
    <t>Solar cell 17.9kWp.</t>
  </si>
  <si>
    <t>Solar cell 10kWp. + Batt 21kWh.</t>
  </si>
  <si>
    <t>ค่าอุปกรณ์ ติดตั้ง แผง อินเวอร์เตอร์ Mounting</t>
  </si>
  <si>
    <t>GTI</t>
  </si>
  <si>
    <t>ค่าอุปกรณ์ ติดตั้ง  Mounting</t>
  </si>
  <si>
    <t>ค่าสาย RS485</t>
  </si>
  <si>
    <t>Solar Thailand</t>
  </si>
  <si>
    <t>Electric and Cable Co., Ltd.</t>
  </si>
  <si>
    <t>ค่าท่อและอุปกรณ์อื่นๆ</t>
  </si>
  <si>
    <t>สายไฟ THW 10Sq.mm.</t>
  </si>
  <si>
    <t>Hardware House</t>
  </si>
  <si>
    <t>เจมส์ซื้อของ</t>
  </si>
  <si>
    <t>เจมส์ซื้อของบันได</t>
  </si>
  <si>
    <t>เจมส์</t>
  </si>
  <si>
    <t>เบรกเกอร์ ABB</t>
  </si>
  <si>
    <t>เมืองไฟฟ้า</t>
  </si>
  <si>
    <t>อุปกรณ์ สิ้นเปลือง</t>
  </si>
  <si>
    <t>ค่าน้ำมันรถเดินทาง</t>
  </si>
  <si>
    <t>ปตท.</t>
  </si>
  <si>
    <t>ค่าแรงคนงาน</t>
  </si>
  <si>
    <t>วันทำงาน</t>
  </si>
  <si>
    <t>วิศวกร</t>
  </si>
  <si>
    <t>OT</t>
  </si>
  <si>
    <t>ค่าแรงมอสเขียนแบบ</t>
  </si>
  <si>
    <t>Khun Koson</t>
  </si>
  <si>
    <t>งานติดตั้งระบบโซล่าร์เซลล์ บนหลังคา 17.68kW</t>
  </si>
  <si>
    <t>บ้านเคน</t>
  </si>
  <si>
    <t>APT</t>
  </si>
  <si>
    <t>ออฟฟิศ&amp;เงินเดือน</t>
  </si>
  <si>
    <t>ท่อ</t>
  </si>
  <si>
    <t>กฤชณรงค์ธัญกิจ</t>
  </si>
  <si>
    <t>งานเปลี่ยนหางปลา สาย SAC 95</t>
  </si>
  <si>
    <t>ยอดที่ค้างจ่าย</t>
  </si>
  <si>
    <t>ยอดเก็บเงิน</t>
  </si>
  <si>
    <t>ค่าพุกและสตัด</t>
  </si>
  <si>
    <t>วังสระปทุม</t>
  </si>
  <si>
    <t>งานติดตั้งโซล่าร์เซลล์ 10kW</t>
  </si>
  <si>
    <t>งานติดตั้งระบบไฟฟ้า Dangerous Waste - General Waste</t>
  </si>
  <si>
    <t>งานติดตั้งระบบไฟฟ้า Dangerous Goods</t>
  </si>
  <si>
    <t>เงินสดย่อย</t>
  </si>
  <si>
    <t>เบิกเงินงานสระบุรี</t>
  </si>
  <si>
    <t>วันที่เงินจะเข้า</t>
  </si>
  <si>
    <t>เงินเบิกเมเดนชา</t>
  </si>
  <si>
    <t>ยอดรวม</t>
  </si>
  <si>
    <t>กระแสเงินสด</t>
  </si>
  <si>
    <t>งานติดตั้งโซล่าร์เซลล์ 5kW</t>
  </si>
  <si>
    <t>ค่าคอมมิชชั่น</t>
  </si>
  <si>
    <t>Ken</t>
  </si>
  <si>
    <t>งานติดตั้งท่อสำหรับ MWS 5 ห้อง</t>
  </si>
  <si>
    <t>ค่าแรง งานติดตั้งระบบไฟฟ้า</t>
  </si>
  <si>
    <t>DDP</t>
  </si>
  <si>
    <t>งานติดตั้ง General Waste/Dangerous Waste</t>
  </si>
  <si>
    <t>TMD-006</t>
  </si>
  <si>
    <t>ค่าจ้างช่างชุดใหม่มาทำงาน</t>
  </si>
  <si>
    <t>Code ทางด้านบัญชี (ในอนาคต)</t>
  </si>
  <si>
    <t>testpom</t>
  </si>
  <si>
    <t>เหล็ก</t>
  </si>
  <si>
    <t>K.Pom</t>
  </si>
  <si>
    <t>(ต้นทุน)</t>
  </si>
  <si>
    <t>(ค่าใช้จ่าย)</t>
  </si>
  <si>
    <t>POM-007</t>
  </si>
  <si>
    <t>QTE-DDP-202600100</t>
  </si>
  <si>
    <t>คุณปอม</t>
  </si>
  <si>
    <t>ติดตั้ง Solar Cell</t>
  </si>
  <si>
    <t>Project Name (เพิ่ม)</t>
  </si>
  <si>
    <t>Text/Quo.No. (ของร้านค้า)</t>
  </si>
  <si>
    <t>ร้านโซล่าดีดี</t>
  </si>
  <si>
    <t>แพงอุปกร์ Solar</t>
  </si>
  <si>
    <t>TEST007</t>
  </si>
  <si>
    <t>ยังไม่ต้องทำ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</si>
</sst>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฿&quot;* #,##0.00_-;\-&quot;฿&quot;* #,##0.00_-;_-&quot;฿&quot;* &quot;-&quot;??_-;_-@_-"/>
    <numFmt numFmtId="43" formatCode="_-* #,##0.00_-;\-* #,##0.00_-;_-* &quot;-&quot;??_-;_-@_-"/>
    <numFmt numFmtId="187" formatCode="_(* #,##0.00_);_(* \(#,##0.00\);_(* &quot;-&quot;??_);_(@_)"/>
    <numFmt numFmtId="188" formatCode="0.000%"/>
    <numFmt numFmtId="189" formatCode="[$-1070000]d/m/yy;@"/>
    <numFmt numFmtId="190" formatCode="[$-1070000]d/mm/yyyy;@"/>
    <numFmt numFmtId="191" formatCode="B1mmm\-yy"/>
  </numFmts>
  <fonts count="124" x14ac:knownFonts="1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0"/>
      <name val="Tahoma"/>
      <family val="2"/>
    </font>
    <font>
      <sz val="14"/>
      <color rgb="FF000000"/>
      <name val="Arial"/>
      <family val="2"/>
    </font>
    <font>
      <b/>
      <u/>
      <sz val="16"/>
      <color rgb="FF000000"/>
      <name val="Calibri"/>
      <family val="2"/>
    </font>
    <font>
      <b/>
      <sz val="14"/>
      <color rgb="FF000000"/>
      <name val="Yu Gothic"/>
      <family val="2"/>
    </font>
    <font>
      <sz val="11"/>
      <color rgb="FF000000"/>
      <name val="Calibri"/>
      <family val="2"/>
    </font>
    <font>
      <sz val="11"/>
      <color rgb="FF000000"/>
      <name val="Yu Gothic"/>
      <family val="2"/>
    </font>
    <font>
      <b/>
      <u/>
      <sz val="16"/>
      <color rgb="FF000000"/>
      <name val="Yu Gothic"/>
      <family val="2"/>
    </font>
    <font>
      <b/>
      <sz val="14"/>
      <color rgb="FF055EE3"/>
      <name val="Calibri"/>
      <family val="2"/>
    </font>
    <font>
      <b/>
      <sz val="12"/>
      <color rgb="FF000000"/>
      <name val="Yu Gothic"/>
      <family val="2"/>
    </font>
    <font>
      <b/>
      <sz val="14"/>
      <color rgb="FF00B050"/>
      <name val="Yu Gothic"/>
      <family val="2"/>
    </font>
    <font>
      <b/>
      <sz val="12"/>
      <color rgb="FFC00000"/>
      <name val="Yu Gothic"/>
      <family val="2"/>
    </font>
    <font>
      <sz val="12"/>
      <color rgb="FF000000"/>
      <name val="Calibri"/>
      <family val="2"/>
    </font>
    <font>
      <b/>
      <sz val="11"/>
      <color rgb="FF000000"/>
      <name val="Yu Gothic"/>
      <family val="2"/>
    </font>
    <font>
      <b/>
      <sz val="11"/>
      <color rgb="FF000000"/>
      <name val="Arial"/>
      <family val="2"/>
    </font>
    <font>
      <sz val="12"/>
      <color rgb="FF000000"/>
      <name val="Tahoma"/>
      <family val="2"/>
    </font>
    <font>
      <sz val="12"/>
      <color rgb="FF333333"/>
      <name val="Tahoma"/>
      <family val="2"/>
    </font>
    <font>
      <sz val="12"/>
      <name val="Tahoma"/>
      <family val="2"/>
    </font>
    <font>
      <sz val="11"/>
      <color rgb="FFFF0000"/>
      <name val="Tahoma"/>
      <family val="2"/>
    </font>
    <font>
      <sz val="11"/>
      <name val="Tahoma"/>
      <family val="2"/>
    </font>
    <font>
      <sz val="12"/>
      <color rgb="FFFF0000"/>
      <name val="Tahoma"/>
      <family val="2"/>
    </font>
    <font>
      <b/>
      <sz val="11"/>
      <color rgb="FF007033"/>
      <name val="Yu Gothic"/>
      <family val="2"/>
    </font>
    <font>
      <b/>
      <sz val="9"/>
      <name val="Tahoma"/>
      <family val="2"/>
    </font>
    <font>
      <sz val="11"/>
      <color theme="1"/>
      <name val="Tahoma"/>
      <family val="2"/>
      <scheme val="minor"/>
    </font>
    <font>
      <b/>
      <sz val="8"/>
      <name val="Tahoma"/>
      <family val="2"/>
    </font>
    <font>
      <sz val="14"/>
      <name val="Cordia New"/>
      <family val="2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sz val="12"/>
      <color theme="1"/>
      <name val="Tahoma"/>
      <family val="2"/>
      <charset val="222"/>
    </font>
    <font>
      <sz val="12"/>
      <color theme="1"/>
      <name val="Angsana New"/>
      <family val="1"/>
      <charset val="222"/>
    </font>
    <font>
      <sz val="16"/>
      <color theme="1"/>
      <name val="Angsana New"/>
      <family val="1"/>
      <charset val="222"/>
    </font>
    <font>
      <sz val="18"/>
      <color theme="1"/>
      <name val="Angsana New"/>
      <family val="1"/>
      <charset val="222"/>
    </font>
    <font>
      <sz val="11"/>
      <color rgb="FFFF0000"/>
      <name val="Tahoma"/>
      <family val="2"/>
      <charset val="222"/>
      <scheme val="minor"/>
    </font>
    <font>
      <b/>
      <sz val="10"/>
      <name val="Tahoma"/>
      <family val="2"/>
    </font>
    <font>
      <b/>
      <sz val="14"/>
      <name val="Tahoma"/>
      <family val="2"/>
    </font>
    <font>
      <sz val="16"/>
      <name val="Tahoma"/>
      <family val="2"/>
    </font>
    <font>
      <b/>
      <sz val="16"/>
      <color rgb="FF00B050"/>
      <name val="Tahoma"/>
      <family val="2"/>
    </font>
    <font>
      <sz val="16"/>
      <color rgb="FFFF0000"/>
      <name val="Tahoma"/>
      <family val="2"/>
    </font>
    <font>
      <b/>
      <sz val="16"/>
      <name val="Tahoma"/>
      <family val="2"/>
    </font>
    <font>
      <sz val="16"/>
      <color theme="1"/>
      <name val="Tahoma"/>
      <family val="2"/>
      <charset val="222"/>
      <scheme val="minor"/>
    </font>
    <font>
      <sz val="14"/>
      <color rgb="FF0000FF"/>
      <name val="Tahoma"/>
      <family val="2"/>
    </font>
    <font>
      <b/>
      <sz val="16"/>
      <color theme="9" tint="-0.249977111117893"/>
      <name val="Tahoma"/>
      <family val="2"/>
    </font>
    <font>
      <b/>
      <sz val="16"/>
      <color rgb="FF000000"/>
      <name val="Calibri"/>
      <family val="2"/>
    </font>
    <font>
      <b/>
      <sz val="16"/>
      <color rgb="FF0070C0"/>
      <name val="Calibri"/>
      <family val="2"/>
    </font>
    <font>
      <sz val="16"/>
      <color rgb="FF000000"/>
      <name val="Calibri"/>
      <family val="2"/>
    </font>
    <font>
      <b/>
      <sz val="16"/>
      <color rgb="FF007033"/>
      <name val="Calibri"/>
      <family val="2"/>
    </font>
    <font>
      <b/>
      <sz val="16"/>
      <color theme="0" tint="-0.499984740745262"/>
      <name val="Calibri"/>
      <family val="2"/>
    </font>
    <font>
      <b/>
      <sz val="16"/>
      <color rgb="FFFF0066"/>
      <name val="Calibri"/>
      <family val="2"/>
    </font>
    <font>
      <b/>
      <sz val="16"/>
      <color rgb="FF00B050"/>
      <name val="Calibri"/>
      <family val="2"/>
    </font>
    <font>
      <b/>
      <sz val="16"/>
      <color theme="3" tint="0.3999755851924192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Tahoma"/>
      <family val="2"/>
      <scheme val="minor"/>
    </font>
    <font>
      <b/>
      <sz val="16"/>
      <color theme="1"/>
      <name val="Tahoma"/>
      <family val="2"/>
      <scheme val="minor"/>
    </font>
    <font>
      <sz val="11"/>
      <color rgb="FF00B050"/>
      <name val="Tahoma"/>
      <family val="2"/>
      <charset val="222"/>
      <scheme val="minor"/>
    </font>
    <font>
      <sz val="18"/>
      <color rgb="FFFF0000"/>
      <name val="Angsana New"/>
      <family val="1"/>
      <charset val="222"/>
    </font>
    <font>
      <b/>
      <sz val="14"/>
      <color rgb="FF000000"/>
      <name val="Arial"/>
      <family val="2"/>
    </font>
    <font>
      <b/>
      <sz val="14"/>
      <color rgb="FFEE0000"/>
      <name val="Calibri"/>
      <family val="2"/>
    </font>
    <font>
      <sz val="11"/>
      <color theme="1" tint="4.9989318521683403E-2"/>
      <name val="Tahoma"/>
      <family val="2"/>
      <charset val="222"/>
      <scheme val="minor"/>
    </font>
    <font>
      <b/>
      <sz val="11"/>
      <color rgb="FF0070C0"/>
      <name val="Tahoma"/>
      <family val="2"/>
      <scheme val="minor"/>
    </font>
    <font>
      <sz val="12"/>
      <color theme="1"/>
      <name val="Tahoma"/>
      <family val="2"/>
    </font>
    <font>
      <sz val="18"/>
      <color rgb="FFFF0000"/>
      <name val="Tahoma"/>
      <family val="2"/>
    </font>
    <font>
      <b/>
      <sz val="16"/>
      <color theme="4" tint="0.39997558519241921"/>
      <name val="Calibri"/>
      <family val="2"/>
    </font>
    <font>
      <b/>
      <sz val="16"/>
      <color rgb="FF0000FF"/>
      <name val="Calibri"/>
      <family val="2"/>
    </font>
    <font>
      <b/>
      <sz val="16"/>
      <color theme="8" tint="0.39997558519241921"/>
      <name val="Calibri"/>
      <family val="2"/>
    </font>
    <font>
      <sz val="18"/>
      <name val="Angsana New"/>
      <family val="1"/>
      <charset val="222"/>
    </font>
    <font>
      <b/>
      <u/>
      <sz val="16"/>
      <color rgb="FF000000"/>
      <name val="Angsana New"/>
      <family val="1"/>
    </font>
    <font>
      <b/>
      <sz val="12"/>
      <color rgb="FF000000"/>
      <name val="Angsana New"/>
      <family val="1"/>
    </font>
    <font>
      <b/>
      <sz val="12"/>
      <color rgb="FFC00000"/>
      <name val="Angsana New"/>
      <family val="1"/>
    </font>
    <font>
      <sz val="12"/>
      <color rgb="FF000000"/>
      <name val="Angsana New"/>
      <family val="1"/>
    </font>
    <font>
      <sz val="12"/>
      <name val="Angsana New"/>
      <family val="1"/>
    </font>
    <font>
      <sz val="16"/>
      <color theme="1"/>
      <name val="Angsana New"/>
      <family val="1"/>
    </font>
    <font>
      <sz val="12"/>
      <color theme="1"/>
      <name val="Angsana New"/>
      <family val="1"/>
    </font>
    <font>
      <sz val="12"/>
      <color rgb="FFFF0000"/>
      <name val="Angsana New"/>
      <family val="1"/>
    </font>
    <font>
      <sz val="16"/>
      <name val="Angsana New"/>
      <family val="1"/>
    </font>
    <font>
      <sz val="16"/>
      <color rgb="FFFF0000"/>
      <name val="Angsana New"/>
      <family val="1"/>
    </font>
    <font>
      <b/>
      <sz val="16"/>
      <name val="Angsana New"/>
      <family val="1"/>
    </font>
    <font>
      <b/>
      <sz val="16"/>
      <color rgb="FF00B050"/>
      <name val="Angsana New"/>
      <family val="1"/>
    </font>
    <font>
      <b/>
      <sz val="16"/>
      <color theme="9" tint="-0.249977111117893"/>
      <name val="Angsana New"/>
      <family val="1"/>
    </font>
    <font>
      <b/>
      <u/>
      <sz val="12"/>
      <color rgb="FF000000"/>
      <name val="Angsana New"/>
      <family val="1"/>
    </font>
    <font>
      <b/>
      <sz val="12"/>
      <color theme="1"/>
      <name val="Angsana New"/>
      <family val="1"/>
    </font>
    <font>
      <b/>
      <sz val="12"/>
      <color rgb="FF055EE3"/>
      <name val="Angsana New"/>
      <family val="1"/>
    </font>
    <font>
      <b/>
      <sz val="12"/>
      <color rgb="FF00B050"/>
      <name val="Angsana New"/>
      <family val="1"/>
    </font>
    <font>
      <b/>
      <sz val="12"/>
      <color rgb="FF007033"/>
      <name val="Angsana New"/>
      <family val="1"/>
    </font>
    <font>
      <b/>
      <sz val="12"/>
      <name val="Angsana New"/>
      <family val="1"/>
    </font>
    <font>
      <sz val="12"/>
      <color rgb="FF0000FF"/>
      <name val="Angsana New"/>
      <family val="1"/>
    </font>
    <font>
      <b/>
      <sz val="12"/>
      <color theme="9" tint="-0.249977111117893"/>
      <name val="Angsana New"/>
      <family val="1"/>
    </font>
    <font>
      <b/>
      <sz val="16"/>
      <color rgb="FF000000"/>
      <name val="Angsana New"/>
      <family val="1"/>
    </font>
    <font>
      <sz val="16"/>
      <color rgb="FF000000"/>
      <name val="Angsana New"/>
      <family val="1"/>
    </font>
    <font>
      <b/>
      <sz val="16"/>
      <color theme="1"/>
      <name val="Angsana New"/>
      <family val="1"/>
    </font>
    <font>
      <b/>
      <sz val="16"/>
      <color rgb="FF055EE3"/>
      <name val="Angsana New"/>
      <family val="1"/>
    </font>
    <font>
      <b/>
      <sz val="16"/>
      <color rgb="FFC00000"/>
      <name val="Angsana New"/>
      <family val="1"/>
    </font>
    <font>
      <sz val="16"/>
      <color rgb="FF333333"/>
      <name val="Angsana New"/>
      <family val="1"/>
    </font>
    <font>
      <b/>
      <sz val="16"/>
      <color rgb="FF007033"/>
      <name val="Angsana New"/>
      <family val="1"/>
    </font>
    <font>
      <sz val="16"/>
      <color rgb="FF0000FF"/>
      <name val="Angsana New"/>
      <family val="1"/>
    </font>
    <font>
      <sz val="12"/>
      <color rgb="FF00B050"/>
      <name val="Angsana New"/>
      <family val="1"/>
    </font>
    <font>
      <sz val="16"/>
      <color theme="1"/>
      <name val="Calibri"/>
      <family val="2"/>
    </font>
    <font>
      <sz val="12"/>
      <color rgb="FF0000FF"/>
      <name val="Tahoma"/>
      <family val="2"/>
    </font>
    <font>
      <b/>
      <sz val="12"/>
      <color rgb="FF0000FF"/>
      <name val="Tahoma"/>
      <family val="2"/>
    </font>
    <font>
      <sz val="12"/>
      <color rgb="FFFF0000"/>
      <name val="Tahoma"/>
      <family val="2"/>
      <charset val="222"/>
    </font>
    <font>
      <b/>
      <sz val="12"/>
      <color rgb="FFFF0000"/>
      <name val="Tahoma"/>
      <family val="2"/>
    </font>
    <font>
      <b/>
      <sz val="16"/>
      <color theme="1" tint="4.9989318521683403E-2"/>
      <name val="Calibri"/>
      <family val="2"/>
    </font>
    <font>
      <b/>
      <sz val="18"/>
      <color rgb="FF000000"/>
      <name val="Calibri"/>
      <family val="2"/>
    </font>
    <font>
      <b/>
      <sz val="18"/>
      <color rgb="FF007033"/>
      <name val="Calibri"/>
      <family val="2"/>
    </font>
    <font>
      <b/>
      <sz val="18"/>
      <color rgb="FF0070C0"/>
      <name val="Calibri"/>
      <family val="2"/>
    </font>
    <font>
      <b/>
      <sz val="18"/>
      <name val="Calibri"/>
      <family val="2"/>
    </font>
    <font>
      <sz val="10"/>
      <color rgb="FF000000"/>
      <name val="Tahoma"/>
      <family val="2"/>
      <scheme val="minor"/>
    </font>
    <font>
      <b/>
      <sz val="10"/>
      <color rgb="FF000000"/>
      <name val="Tahoma"/>
      <family val="2"/>
      <scheme val="minor"/>
    </font>
    <font>
      <b/>
      <sz val="10"/>
      <color rgb="FF00B050"/>
      <name val="Tahoma"/>
      <family val="2"/>
      <scheme val="minor"/>
    </font>
    <font>
      <sz val="16"/>
      <color rgb="FFFF0000"/>
      <name val="Angsana New"/>
      <family val="1"/>
      <charset val="222"/>
    </font>
    <font>
      <sz val="16"/>
      <name val="Angsana New"/>
      <family val="1"/>
      <charset val="222"/>
    </font>
    <font>
      <sz val="16"/>
      <color rgb="FFFF0000"/>
      <name val="Tahoma"/>
      <family val="2"/>
      <charset val="222"/>
    </font>
    <font>
      <b/>
      <sz val="16"/>
      <color theme="1"/>
      <name val="Calibri"/>
      <family val="2"/>
    </font>
    <font>
      <b/>
      <sz val="20"/>
      <color rgb="FF000000"/>
      <name val="Calibri"/>
      <family val="2"/>
    </font>
    <font>
      <sz val="16"/>
      <color rgb="FF00B050"/>
      <name val="Angsana New"/>
      <family val="1"/>
      <charset val="222"/>
    </font>
    <font>
      <b/>
      <sz val="18"/>
      <color rgb="FF0000FF"/>
      <name val="Calibri"/>
      <family val="2"/>
    </font>
    <font>
      <b/>
      <sz val="20"/>
      <color rgb="FF0000FF"/>
      <name val="Calibri"/>
      <family val="2"/>
    </font>
    <font>
      <b/>
      <sz val="11"/>
      <color rgb="FF0000FF"/>
      <name val="Tahoma"/>
      <family val="2"/>
      <scheme val="minor"/>
    </font>
    <font>
      <sz val="8"/>
      <color rgb="FF000000"/>
      <name val="Tahoma"/>
      <family val="2"/>
      <scheme val="minor"/>
    </font>
    <font>
      <b/>
      <sz val="8"/>
      <color rgb="FF000000"/>
      <name val="Tahoma"/>
      <family val="2"/>
      <scheme val="minor"/>
    </font>
    <font>
      <sz val="8"/>
      <color rgb="FF00B050"/>
      <name val="Tahoma"/>
      <family val="2"/>
      <scheme val="minor"/>
    </font>
    <font>
      <sz val="8"/>
      <color rgb="FFFF0000"/>
      <name val="Tahoma"/>
      <family val="2"/>
      <scheme val="minor"/>
    </font>
    <font>
      <b/>
      <sz val="16"/>
      <color rgb="FFFF0000"/>
      <name val="Calibri"/>
      <family val="2"/>
    </font>
    <font>
      <b/>
      <sz val="20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1BCF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4" fillId="0" borderId="0"/>
    <xf numFmtId="0" fontId="26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6" fillId="0" borderId="0"/>
    <xf numFmtId="18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6" fillId="0" borderId="0"/>
  </cellStyleXfs>
  <cellXfs count="597">
    <xf numFmtId="0" fontId="0" fillId="0" borderId="0" xfId="0"/>
    <xf numFmtId="0" fontId="2" fillId="0" borderId="0" xfId="1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4" fontId="3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10" fillId="0" borderId="0" xfId="0" applyFont="1" applyAlignment="1">
      <alignment horizontal="right"/>
    </xf>
    <xf numFmtId="10" fontId="11" fillId="0" borderId="0" xfId="0" applyNumberFormat="1" applyFont="1" applyAlignment="1">
      <alignment horizontal="left"/>
    </xf>
    <xf numFmtId="10" fontId="12" fillId="0" borderId="0" xfId="0" applyNumberFormat="1" applyFont="1" applyAlignment="1">
      <alignment horizontal="left"/>
    </xf>
    <xf numFmtId="0" fontId="13" fillId="0" borderId="0" xfId="0" applyFont="1"/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right"/>
    </xf>
    <xf numFmtId="0" fontId="16" fillId="0" borderId="4" xfId="0" applyFont="1" applyBorder="1"/>
    <xf numFmtId="0" fontId="19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wrapText="1"/>
    </xf>
    <xf numFmtId="0" fontId="21" fillId="2" borderId="1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right"/>
    </xf>
    <xf numFmtId="0" fontId="21" fillId="0" borderId="4" xfId="0" applyFont="1" applyBorder="1" applyAlignment="1">
      <alignment horizontal="center"/>
    </xf>
    <xf numFmtId="0" fontId="21" fillId="0" borderId="3" xfId="0" applyFont="1" applyBorder="1" applyAlignment="1">
      <alignment vertical="center"/>
    </xf>
    <xf numFmtId="0" fontId="14" fillId="3" borderId="5" xfId="0" applyFont="1" applyFill="1" applyBorder="1" applyAlignment="1">
      <alignment horizontal="center"/>
    </xf>
    <xf numFmtId="4" fontId="14" fillId="3" borderId="5" xfId="0" applyNumberFormat="1" applyFont="1" applyFill="1" applyBorder="1"/>
    <xf numFmtId="0" fontId="14" fillId="4" borderId="1" xfId="0" applyFont="1" applyFill="1" applyBorder="1" applyAlignment="1">
      <alignment horizontal="center" vertical="center"/>
    </xf>
    <xf numFmtId="4" fontId="14" fillId="4" borderId="1" xfId="0" applyNumberFormat="1" applyFont="1" applyFill="1" applyBorder="1" applyAlignment="1">
      <alignment vertical="center"/>
    </xf>
    <xf numFmtId="0" fontId="14" fillId="0" borderId="0" xfId="0" applyFont="1" applyAlignment="1">
      <alignment horizontal="right"/>
    </xf>
    <xf numFmtId="10" fontId="22" fillId="0" borderId="0" xfId="0" applyNumberFormat="1" applyFont="1"/>
    <xf numFmtId="0" fontId="14" fillId="0" borderId="0" xfId="0" applyFont="1"/>
    <xf numFmtId="0" fontId="14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4" fontId="14" fillId="0" borderId="0" xfId="0" applyNumberFormat="1" applyFont="1"/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vertical="center"/>
    </xf>
    <xf numFmtId="0" fontId="29" fillId="2" borderId="1" xfId="0" applyFont="1" applyFill="1" applyBorder="1" applyAlignment="1">
      <alignment horizontal="left"/>
    </xf>
    <xf numFmtId="0" fontId="29" fillId="0" borderId="4" xfId="0" applyFont="1" applyBorder="1" applyAlignment="1">
      <alignment horizontal="center"/>
    </xf>
    <xf numFmtId="0" fontId="29" fillId="2" borderId="1" xfId="0" applyFont="1" applyFill="1" applyBorder="1" applyAlignment="1">
      <alignment horizontal="right"/>
    </xf>
    <xf numFmtId="0" fontId="30" fillId="0" borderId="1" xfId="0" applyFont="1" applyBorder="1" applyAlignment="1">
      <alignment vertical="center"/>
    </xf>
    <xf numFmtId="0" fontId="30" fillId="2" borderId="1" xfId="0" applyFont="1" applyFill="1" applyBorder="1" applyAlignment="1">
      <alignment horizontal="left"/>
    </xf>
    <xf numFmtId="0" fontId="30" fillId="2" borderId="1" xfId="0" applyFont="1" applyFill="1" applyBorder="1" applyAlignment="1">
      <alignment horizontal="right"/>
    </xf>
    <xf numFmtId="0" fontId="30" fillId="0" borderId="1" xfId="0" applyFont="1" applyBorder="1"/>
    <xf numFmtId="0" fontId="31" fillId="0" borderId="1" xfId="0" applyFont="1" applyBorder="1" applyAlignment="1">
      <alignment horizontal="left" vertical="center" wrapText="1"/>
    </xf>
    <xf numFmtId="0" fontId="31" fillId="2" borderId="1" xfId="0" applyFont="1" applyFill="1" applyBorder="1" applyAlignment="1">
      <alignment horizontal="left"/>
    </xf>
    <xf numFmtId="4" fontId="31" fillId="0" borderId="1" xfId="0" applyNumberFormat="1" applyFont="1" applyBorder="1" applyAlignment="1">
      <alignment horizontal="right" vertical="center" wrapText="1"/>
    </xf>
    <xf numFmtId="0" fontId="31" fillId="0" borderId="1" xfId="0" applyFont="1" applyBorder="1" applyAlignment="1">
      <alignment horizontal="center" wrapText="1"/>
    </xf>
    <xf numFmtId="0" fontId="31" fillId="2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left" vertical="center" wrapText="1"/>
    </xf>
    <xf numFmtId="0" fontId="32" fillId="2" borderId="1" xfId="0" applyFont="1" applyFill="1" applyBorder="1" applyAlignment="1">
      <alignment horizontal="left"/>
    </xf>
    <xf numFmtId="4" fontId="32" fillId="0" borderId="1" xfId="0" applyNumberFormat="1" applyFont="1" applyBorder="1" applyAlignment="1">
      <alignment horizontal="right" vertical="center" wrapText="1"/>
    </xf>
    <xf numFmtId="0" fontId="32" fillId="0" borderId="1" xfId="0" applyFont="1" applyBorder="1" applyAlignment="1">
      <alignment horizontal="center" wrapText="1"/>
    </xf>
    <xf numFmtId="0" fontId="32" fillId="2" borderId="1" xfId="0" applyFont="1" applyFill="1" applyBorder="1" applyAlignment="1">
      <alignment horizontal="center"/>
    </xf>
    <xf numFmtId="14" fontId="32" fillId="0" borderId="1" xfId="0" applyNumberFormat="1" applyFont="1" applyBorder="1" applyAlignment="1">
      <alignment horizontal="center" vertical="center"/>
    </xf>
    <xf numFmtId="0" fontId="32" fillId="0" borderId="4" xfId="0" applyFont="1" applyBorder="1" applyAlignment="1">
      <alignment horizontal="center"/>
    </xf>
    <xf numFmtId="0" fontId="32" fillId="2" borderId="1" xfId="0" applyFont="1" applyFill="1" applyBorder="1" applyAlignment="1">
      <alignment horizontal="right"/>
    </xf>
    <xf numFmtId="0" fontId="30" fillId="0" borderId="3" xfId="0" applyFont="1" applyBorder="1" applyAlignment="1">
      <alignment vertical="center"/>
    </xf>
    <xf numFmtId="0" fontId="30" fillId="0" borderId="4" xfId="0" applyFont="1" applyBorder="1"/>
    <xf numFmtId="43" fontId="32" fillId="2" borderId="1" xfId="4" applyFont="1" applyFill="1" applyBorder="1" applyAlignment="1">
      <alignment horizontal="right"/>
    </xf>
    <xf numFmtId="43" fontId="31" fillId="2" borderId="1" xfId="4" applyFont="1" applyFill="1" applyBorder="1" applyAlignment="1">
      <alignment horizontal="right"/>
    </xf>
    <xf numFmtId="14" fontId="30" fillId="0" borderId="1" xfId="0" applyNumberFormat="1" applyFont="1" applyBorder="1" applyAlignment="1">
      <alignment vertical="center"/>
    </xf>
    <xf numFmtId="0" fontId="23" fillId="0" borderId="13" xfId="1" applyFont="1" applyBorder="1" applyAlignment="1" applyProtection="1">
      <alignment horizontal="center" vertical="center" textRotation="255"/>
      <protection locked="0"/>
    </xf>
    <xf numFmtId="0" fontId="23" fillId="0" borderId="13" xfId="1" applyFont="1" applyBorder="1" applyAlignment="1" applyProtection="1">
      <alignment horizontal="center" vertical="center" textRotation="255" wrapText="1"/>
      <protection locked="0"/>
    </xf>
    <xf numFmtId="0" fontId="25" fillId="0" borderId="13" xfId="1" applyFont="1" applyBorder="1" applyAlignment="1" applyProtection="1">
      <alignment horizontal="center" vertical="center" textRotation="255" wrapText="1"/>
      <protection locked="0"/>
    </xf>
    <xf numFmtId="0" fontId="23" fillId="5" borderId="13" xfId="1" applyFont="1" applyFill="1" applyBorder="1" applyAlignment="1" applyProtection="1">
      <alignment horizontal="center" vertical="center" textRotation="255" wrapText="1"/>
      <protection locked="0"/>
    </xf>
    <xf numFmtId="0" fontId="2" fillId="0" borderId="13" xfId="1" applyFont="1" applyBorder="1" applyAlignment="1">
      <alignment horizontal="center" vertical="center"/>
    </xf>
    <xf numFmtId="0" fontId="23" fillId="0" borderId="13" xfId="1" applyFont="1" applyBorder="1" applyAlignment="1" applyProtection="1">
      <alignment horizontal="center" vertical="center"/>
      <protection locked="0"/>
    </xf>
    <xf numFmtId="0" fontId="23" fillId="0" borderId="13" xfId="1" applyFont="1" applyBorder="1" applyAlignment="1" applyProtection="1">
      <alignment vertical="center"/>
      <protection locked="0"/>
    </xf>
    <xf numFmtId="0" fontId="2" fillId="0" borderId="13" xfId="1" applyFont="1" applyBorder="1" applyAlignment="1" applyProtection="1">
      <alignment horizontal="center" vertical="center"/>
      <protection locked="0"/>
    </xf>
    <xf numFmtId="0" fontId="21" fillId="0" borderId="13" xfId="0" applyFont="1" applyBorder="1"/>
    <xf numFmtId="0" fontId="10" fillId="0" borderId="13" xfId="0" applyFont="1" applyBorder="1" applyAlignment="1">
      <alignment horizontal="center" vertical="center"/>
    </xf>
    <xf numFmtId="0" fontId="34" fillId="0" borderId="12" xfId="1" applyFont="1" applyBorder="1" applyAlignment="1" applyProtection="1">
      <alignment vertical="center"/>
      <protection locked="0"/>
    </xf>
    <xf numFmtId="0" fontId="21" fillId="0" borderId="13" xfId="0" applyFont="1" applyBorder="1" applyAlignment="1">
      <alignment vertical="center"/>
    </xf>
    <xf numFmtId="44" fontId="11" fillId="0" borderId="13" xfId="0" applyNumberFormat="1" applyFont="1" applyBorder="1" applyAlignment="1">
      <alignment horizontal="left"/>
    </xf>
    <xf numFmtId="43" fontId="36" fillId="0" borderId="13" xfId="4" applyFont="1" applyBorder="1" applyAlignment="1">
      <alignment horizontal="left" vertical="center" wrapText="1"/>
    </xf>
    <xf numFmtId="43" fontId="36" fillId="0" borderId="13" xfId="4" applyFont="1" applyBorder="1" applyAlignment="1">
      <alignment horizontal="left"/>
    </xf>
    <xf numFmtId="10" fontId="37" fillId="0" borderId="13" xfId="5" applyNumberFormat="1" applyFont="1" applyBorder="1" applyAlignment="1">
      <alignment horizontal="right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left"/>
    </xf>
    <xf numFmtId="0" fontId="39" fillId="0" borderId="13" xfId="0" applyFont="1" applyBorder="1" applyAlignment="1">
      <alignment horizontal="right"/>
    </xf>
    <xf numFmtId="43" fontId="39" fillId="0" borderId="13" xfId="4" applyFont="1" applyBorder="1" applyAlignment="1">
      <alignment horizontal="left"/>
    </xf>
    <xf numFmtId="0" fontId="38" fillId="0" borderId="13" xfId="0" applyFont="1" applyBorder="1"/>
    <xf numFmtId="43" fontId="41" fillId="0" borderId="13" xfId="4" applyFont="1" applyBorder="1" applyAlignment="1">
      <alignment horizontal="right"/>
    </xf>
    <xf numFmtId="43" fontId="42" fillId="0" borderId="13" xfId="0" applyNumberFormat="1" applyFont="1" applyBorder="1" applyAlignment="1">
      <alignment horizontal="right"/>
    </xf>
    <xf numFmtId="43" fontId="21" fillId="0" borderId="13" xfId="0" applyNumberFormat="1" applyFont="1" applyBorder="1" applyAlignment="1">
      <alignment vertical="center" wrapText="1"/>
    </xf>
    <xf numFmtId="43" fontId="38" fillId="0" borderId="13" xfId="0" applyNumberFormat="1" applyFont="1" applyBorder="1"/>
    <xf numFmtId="0" fontId="9" fillId="0" borderId="1" xfId="0" applyFont="1" applyBorder="1" applyAlignment="1">
      <alignment horizontal="center"/>
    </xf>
    <xf numFmtId="10" fontId="9" fillId="0" borderId="1" xfId="0" applyNumberFormat="1" applyFont="1" applyBorder="1" applyAlignment="1">
      <alignment horizontal="center" vertical="center"/>
    </xf>
    <xf numFmtId="43" fontId="36" fillId="6" borderId="13" xfId="4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left"/>
    </xf>
    <xf numFmtId="187" fontId="18" fillId="2" borderId="1" xfId="7" applyFont="1" applyFill="1" applyBorder="1" applyAlignment="1">
      <alignment horizontal="right"/>
    </xf>
    <xf numFmtId="0" fontId="18" fillId="0" borderId="1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14" fontId="18" fillId="0" borderId="3" xfId="0" applyNumberFormat="1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9" fillId="0" borderId="3" xfId="0" applyFont="1" applyBorder="1" applyAlignment="1">
      <alignment horizontal="center" vertical="center"/>
    </xf>
    <xf numFmtId="0" fontId="43" fillId="0" borderId="16" xfId="6" applyFont="1" applyBorder="1" applyAlignment="1">
      <alignment horizontal="center" vertical="center" wrapText="1"/>
    </xf>
    <xf numFmtId="0" fontId="45" fillId="0" borderId="0" xfId="6" applyFont="1"/>
    <xf numFmtId="0" fontId="43" fillId="0" borderId="13" xfId="6" applyFont="1" applyBorder="1"/>
    <xf numFmtId="0" fontId="45" fillId="0" borderId="13" xfId="6" applyFont="1" applyBorder="1"/>
    <xf numFmtId="187" fontId="40" fillId="0" borderId="13" xfId="7" applyFont="1" applyBorder="1"/>
    <xf numFmtId="0" fontId="43" fillId="0" borderId="18" xfId="6" applyFont="1" applyBorder="1" applyAlignment="1">
      <alignment horizontal="center"/>
    </xf>
    <xf numFmtId="0" fontId="45" fillId="0" borderId="0" xfId="6" applyFont="1" applyAlignment="1">
      <alignment horizontal="center" vertical="center"/>
    </xf>
    <xf numFmtId="0" fontId="43" fillId="0" borderId="20" xfId="6" applyFont="1" applyBorder="1" applyAlignment="1">
      <alignment horizontal="center"/>
    </xf>
    <xf numFmtId="187" fontId="40" fillId="0" borderId="0" xfId="7" applyFont="1"/>
    <xf numFmtId="0" fontId="46" fillId="0" borderId="0" xfId="6" applyFont="1" applyAlignment="1">
      <alignment horizontal="center"/>
    </xf>
    <xf numFmtId="0" fontId="43" fillId="0" borderId="21" xfId="6" applyFont="1" applyBorder="1" applyAlignment="1">
      <alignment horizontal="center"/>
    </xf>
    <xf numFmtId="0" fontId="43" fillId="0" borderId="22" xfId="6" applyFont="1" applyBorder="1" applyAlignment="1">
      <alignment horizontal="center"/>
    </xf>
    <xf numFmtId="187" fontId="43" fillId="0" borderId="21" xfId="7" applyFont="1" applyBorder="1" applyAlignment="1">
      <alignment horizontal="center"/>
    </xf>
    <xf numFmtId="187" fontId="43" fillId="0" borderId="23" xfId="7" applyFont="1" applyBorder="1" applyAlignment="1">
      <alignment horizontal="center"/>
    </xf>
    <xf numFmtId="0" fontId="46" fillId="0" borderId="22" xfId="6" applyFont="1" applyBorder="1" applyAlignment="1">
      <alignment horizontal="center"/>
    </xf>
    <xf numFmtId="187" fontId="43" fillId="0" borderId="16" xfId="7" applyFont="1" applyBorder="1"/>
    <xf numFmtId="10" fontId="49" fillId="0" borderId="16" xfId="8" applyNumberFormat="1" applyFont="1" applyBorder="1" applyAlignment="1">
      <alignment horizontal="center"/>
    </xf>
    <xf numFmtId="187" fontId="43" fillId="0" borderId="15" xfId="7" applyFont="1" applyBorder="1"/>
    <xf numFmtId="0" fontId="46" fillId="0" borderId="16" xfId="6" applyFont="1" applyBorder="1" applyAlignment="1">
      <alignment horizontal="center"/>
    </xf>
    <xf numFmtId="0" fontId="50" fillId="0" borderId="24" xfId="6" applyFont="1" applyBorder="1" applyAlignment="1">
      <alignment horizontal="center"/>
    </xf>
    <xf numFmtId="187" fontId="43" fillId="0" borderId="18" xfId="7" applyFont="1" applyBorder="1"/>
    <xf numFmtId="10" fontId="49" fillId="0" borderId="18" xfId="8" applyNumberFormat="1" applyFont="1" applyBorder="1" applyAlignment="1">
      <alignment horizontal="center"/>
    </xf>
    <xf numFmtId="187" fontId="43" fillId="0" borderId="25" xfId="7" applyFont="1" applyBorder="1"/>
    <xf numFmtId="188" fontId="46" fillId="0" borderId="18" xfId="8" applyNumberFormat="1" applyFont="1" applyBorder="1" applyAlignment="1">
      <alignment horizontal="center"/>
    </xf>
    <xf numFmtId="0" fontId="48" fillId="0" borderId="24" xfId="6" applyFont="1" applyBorder="1" applyAlignment="1">
      <alignment horizontal="center"/>
    </xf>
    <xf numFmtId="0" fontId="46" fillId="0" borderId="18" xfId="6" applyFont="1" applyBorder="1" applyAlignment="1">
      <alignment horizontal="center"/>
    </xf>
    <xf numFmtId="0" fontId="49" fillId="0" borderId="26" xfId="6" applyFont="1" applyBorder="1" applyAlignment="1">
      <alignment horizontal="center"/>
    </xf>
    <xf numFmtId="187" fontId="43" fillId="0" borderId="20" xfId="7" applyFont="1" applyBorder="1"/>
    <xf numFmtId="10" fontId="49" fillId="0" borderId="20" xfId="8" applyNumberFormat="1" applyFont="1" applyBorder="1" applyAlignment="1">
      <alignment horizontal="center"/>
    </xf>
    <xf numFmtId="187" fontId="43" fillId="0" borderId="27" xfId="7" applyFont="1" applyBorder="1"/>
    <xf numFmtId="0" fontId="46" fillId="0" borderId="20" xfId="6" applyFont="1" applyBorder="1" applyAlignment="1">
      <alignment horizontal="center"/>
    </xf>
    <xf numFmtId="0" fontId="46" fillId="0" borderId="0" xfId="6" applyFont="1"/>
    <xf numFmtId="0" fontId="5" fillId="0" borderId="13" xfId="0" applyFont="1" applyBorder="1" applyAlignment="1">
      <alignment horizontal="center"/>
    </xf>
    <xf numFmtId="4" fontId="3" fillId="0" borderId="13" xfId="0" applyNumberFormat="1" applyFont="1" applyBorder="1" applyAlignment="1">
      <alignment horizontal="center" vertical="center"/>
    </xf>
    <xf numFmtId="4" fontId="3" fillId="0" borderId="0" xfId="0" applyNumberFormat="1" applyFont="1"/>
    <xf numFmtId="0" fontId="51" fillId="0" borderId="1" xfId="0" applyFont="1" applyBorder="1" applyAlignment="1">
      <alignment horizontal="center"/>
    </xf>
    <xf numFmtId="14" fontId="51" fillId="0" borderId="1" xfId="0" applyNumberFormat="1" applyFont="1" applyBorder="1" applyAlignment="1">
      <alignment horizontal="center" vertical="center"/>
    </xf>
    <xf numFmtId="15" fontId="51" fillId="0" borderId="1" xfId="0" applyNumberFormat="1" applyFont="1" applyBorder="1" applyAlignment="1">
      <alignment horizontal="center" vertical="center"/>
    </xf>
    <xf numFmtId="43" fontId="0" fillId="0" borderId="0" xfId="4" applyFont="1"/>
    <xf numFmtId="43" fontId="0" fillId="0" borderId="13" xfId="4" applyFont="1" applyBorder="1"/>
    <xf numFmtId="43" fontId="0" fillId="0" borderId="0" xfId="0" applyNumberFormat="1"/>
    <xf numFmtId="43" fontId="52" fillId="0" borderId="0" xfId="0" applyNumberFormat="1" applyFont="1"/>
    <xf numFmtId="43" fontId="52" fillId="0" borderId="28" xfId="0" applyNumberFormat="1" applyFont="1" applyBorder="1"/>
    <xf numFmtId="43" fontId="33" fillId="0" borderId="13" xfId="4" applyFont="1" applyBorder="1"/>
    <xf numFmtId="0" fontId="53" fillId="0" borderId="0" xfId="0" applyFont="1" applyAlignment="1">
      <alignment horizontal="center"/>
    </xf>
    <xf numFmtId="0" fontId="53" fillId="0" borderId="13" xfId="0" applyFont="1" applyBorder="1" applyAlignment="1">
      <alignment horizontal="center"/>
    </xf>
    <xf numFmtId="43" fontId="33" fillId="6" borderId="13" xfId="4" applyFont="1" applyFill="1" applyBorder="1"/>
    <xf numFmtId="43" fontId="54" fillId="0" borderId="0" xfId="4" applyFont="1"/>
    <xf numFmtId="0" fontId="20" fillId="0" borderId="1" xfId="0" applyFont="1" applyBorder="1" applyAlignment="1">
      <alignment horizontal="left" vertical="center" wrapText="1"/>
    </xf>
    <xf numFmtId="0" fontId="55" fillId="2" borderId="1" xfId="0" applyFont="1" applyFill="1" applyBorder="1" applyAlignment="1">
      <alignment horizontal="left"/>
    </xf>
    <xf numFmtId="0" fontId="55" fillId="0" borderId="1" xfId="0" applyFont="1" applyBorder="1" applyAlignment="1">
      <alignment horizontal="center" wrapText="1"/>
    </xf>
    <xf numFmtId="0" fontId="33" fillId="0" borderId="0" xfId="0" applyFont="1"/>
    <xf numFmtId="0" fontId="55" fillId="0" borderId="4" xfId="0" applyFont="1" applyBorder="1" applyAlignment="1">
      <alignment horizontal="center" wrapText="1"/>
    </xf>
    <xf numFmtId="4" fontId="56" fillId="0" borderId="1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6" fillId="0" borderId="3" xfId="0" applyFont="1" applyBorder="1"/>
    <xf numFmtId="14" fontId="32" fillId="0" borderId="3" xfId="0" applyNumberFormat="1" applyFont="1" applyBorder="1" applyAlignment="1">
      <alignment horizontal="center" vertical="center"/>
    </xf>
    <xf numFmtId="14" fontId="32" fillId="0" borderId="3" xfId="0" applyNumberFormat="1" applyFont="1" applyBorder="1" applyAlignment="1">
      <alignment horizontal="center"/>
    </xf>
    <xf numFmtId="0" fontId="18" fillId="0" borderId="3" xfId="0" applyFont="1" applyBorder="1" applyAlignment="1">
      <alignment vertical="center"/>
    </xf>
    <xf numFmtId="0" fontId="32" fillId="0" borderId="3" xfId="0" applyFont="1" applyBorder="1" applyAlignment="1">
      <alignment vertical="center"/>
    </xf>
    <xf numFmtId="0" fontId="32" fillId="0" borderId="3" xfId="0" applyFont="1" applyBorder="1" applyAlignment="1">
      <alignment horizontal="center"/>
    </xf>
    <xf numFmtId="0" fontId="55" fillId="0" borderId="3" xfId="0" applyFont="1" applyBorder="1" applyAlignment="1">
      <alignment horizontal="center"/>
    </xf>
    <xf numFmtId="0" fontId="29" fillId="0" borderId="3" xfId="0" applyFont="1" applyBorder="1"/>
    <xf numFmtId="0" fontId="14" fillId="0" borderId="13" xfId="0" applyFont="1" applyBorder="1" applyAlignment="1">
      <alignment horizontal="center"/>
    </xf>
    <xf numFmtId="0" fontId="0" fillId="0" borderId="13" xfId="0" applyBorder="1"/>
    <xf numFmtId="0" fontId="33" fillId="0" borderId="13" xfId="0" applyFont="1" applyBorder="1"/>
    <xf numFmtId="0" fontId="0" fillId="0" borderId="0" xfId="0" applyAlignment="1">
      <alignment horizontal="center" vertical="center"/>
    </xf>
    <xf numFmtId="0" fontId="5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52" fillId="0" borderId="12" xfId="0" applyFont="1" applyBorder="1" applyAlignment="1">
      <alignment horizontal="center" vertical="center"/>
    </xf>
    <xf numFmtId="14" fontId="51" fillId="0" borderId="30" xfId="0" applyNumberFormat="1" applyFont="1" applyBorder="1" applyAlignment="1">
      <alignment horizontal="center" vertical="center" textRotation="90"/>
    </xf>
    <xf numFmtId="14" fontId="51" fillId="0" borderId="31" xfId="0" applyNumberFormat="1" applyFont="1" applyBorder="1" applyAlignment="1">
      <alignment horizontal="center" vertical="center" textRotation="90"/>
    </xf>
    <xf numFmtId="14" fontId="51" fillId="0" borderId="32" xfId="0" applyNumberFormat="1" applyFont="1" applyBorder="1" applyAlignment="1">
      <alignment horizontal="center" vertical="center" textRotation="90"/>
    </xf>
    <xf numFmtId="0" fontId="58" fillId="0" borderId="13" xfId="0" applyFont="1" applyBorder="1"/>
    <xf numFmtId="43" fontId="58" fillId="0" borderId="13" xfId="4" applyFont="1" applyBorder="1"/>
    <xf numFmtId="0" fontId="58" fillId="0" borderId="13" xfId="0" applyFont="1" applyBorder="1" applyAlignment="1">
      <alignment horizontal="center" vertical="center"/>
    </xf>
    <xf numFmtId="0" fontId="51" fillId="0" borderId="29" xfId="0" applyFont="1" applyBorder="1" applyAlignment="1">
      <alignment horizontal="center" vertical="center" wrapText="1"/>
    </xf>
    <xf numFmtId="0" fontId="0" fillId="6" borderId="13" xfId="0" applyFill="1" applyBorder="1"/>
    <xf numFmtId="43" fontId="0" fillId="6" borderId="13" xfId="4" applyFont="1" applyFill="1" applyBorder="1"/>
    <xf numFmtId="43" fontId="52" fillId="0" borderId="13" xfId="0" applyNumberFormat="1" applyFont="1" applyBorder="1" applyAlignment="1">
      <alignment horizontal="center" vertical="center"/>
    </xf>
    <xf numFmtId="43" fontId="59" fillId="0" borderId="35" xfId="0" applyNumberFormat="1" applyFont="1" applyBorder="1" applyAlignment="1">
      <alignment horizontal="center" vertical="center"/>
    </xf>
    <xf numFmtId="0" fontId="60" fillId="0" borderId="3" xfId="0" applyFont="1" applyBorder="1" applyAlignment="1">
      <alignment horizontal="center"/>
    </xf>
    <xf numFmtId="43" fontId="61" fillId="0" borderId="13" xfId="4" applyFont="1" applyBorder="1" applyAlignment="1">
      <alignment horizontal="left"/>
    </xf>
    <xf numFmtId="0" fontId="52" fillId="0" borderId="13" xfId="0" applyFont="1" applyBorder="1" applyAlignment="1">
      <alignment horizontal="center"/>
    </xf>
    <xf numFmtId="0" fontId="44" fillId="0" borderId="14" xfId="6" applyFont="1" applyBorder="1" applyAlignment="1">
      <alignment vertical="center" wrapText="1"/>
    </xf>
    <xf numFmtId="187" fontId="46" fillId="0" borderId="34" xfId="6" applyNumberFormat="1" applyFont="1" applyBorder="1"/>
    <xf numFmtId="0" fontId="65" fillId="2" borderId="1" xfId="0" applyFont="1" applyFill="1" applyBorder="1" applyAlignment="1">
      <alignment horizontal="center"/>
    </xf>
    <xf numFmtId="0" fontId="65" fillId="2" borderId="1" xfId="0" applyFont="1" applyFill="1" applyBorder="1" applyAlignment="1">
      <alignment horizontal="left"/>
    </xf>
    <xf numFmtId="43" fontId="65" fillId="2" borderId="1" xfId="4" applyFont="1" applyFill="1" applyBorder="1" applyAlignment="1">
      <alignment horizontal="right"/>
    </xf>
    <xf numFmtId="0" fontId="65" fillId="0" borderId="1" xfId="0" applyFont="1" applyBorder="1" applyAlignment="1">
      <alignment horizontal="center" wrapText="1"/>
    </xf>
    <xf numFmtId="0" fontId="30" fillId="0" borderId="3" xfId="0" applyFont="1" applyBorder="1"/>
    <xf numFmtId="0" fontId="32" fillId="0" borderId="3" xfId="0" applyFont="1" applyBorder="1"/>
    <xf numFmtId="0" fontId="66" fillId="0" borderId="0" xfId="0" applyFont="1" applyAlignment="1">
      <alignment vertical="center"/>
    </xf>
    <xf numFmtId="0" fontId="67" fillId="0" borderId="0" xfId="0" applyFont="1" applyAlignment="1">
      <alignment horizontal="right"/>
    </xf>
    <xf numFmtId="10" fontId="68" fillId="0" borderId="0" xfId="0" applyNumberFormat="1" applyFont="1" applyAlignment="1">
      <alignment horizontal="left"/>
    </xf>
    <xf numFmtId="0" fontId="69" fillId="0" borderId="0" xfId="0" applyFont="1"/>
    <xf numFmtId="0" fontId="71" fillId="2" borderId="1" xfId="0" applyFont="1" applyFill="1" applyBorder="1" applyAlignment="1">
      <alignment horizontal="left"/>
    </xf>
    <xf numFmtId="0" fontId="71" fillId="2" borderId="1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left" vertical="center" wrapText="1"/>
    </xf>
    <xf numFmtId="43" fontId="71" fillId="0" borderId="1" xfId="4" applyFont="1" applyBorder="1" applyAlignment="1">
      <alignment horizontal="right" vertical="center" wrapText="1"/>
    </xf>
    <xf numFmtId="0" fontId="71" fillId="0" borderId="4" xfId="0" applyFont="1" applyBorder="1" applyAlignment="1">
      <alignment horizontal="center"/>
    </xf>
    <xf numFmtId="0" fontId="73" fillId="2" borderId="1" xfId="0" applyFont="1" applyFill="1" applyBorder="1" applyAlignment="1">
      <alignment horizontal="left"/>
    </xf>
    <xf numFmtId="0" fontId="73" fillId="0" borderId="4" xfId="0" applyFont="1" applyBorder="1" applyAlignment="1">
      <alignment horizontal="center"/>
    </xf>
    <xf numFmtId="0" fontId="73" fillId="0" borderId="1" xfId="0" applyFont="1" applyBorder="1"/>
    <xf numFmtId="0" fontId="73" fillId="0" borderId="3" xfId="0" applyFont="1" applyBorder="1" applyAlignment="1">
      <alignment horizontal="center" vertical="center"/>
    </xf>
    <xf numFmtId="0" fontId="67" fillId="0" borderId="13" xfId="0" applyFont="1" applyBorder="1" applyAlignment="1">
      <alignment horizontal="center" vertical="center"/>
    </xf>
    <xf numFmtId="43" fontId="74" fillId="0" borderId="13" xfId="4" applyFont="1" applyBorder="1" applyAlignment="1">
      <alignment horizontal="left" vertical="center" wrapText="1"/>
    </xf>
    <xf numFmtId="43" fontId="73" fillId="0" borderId="13" xfId="0" applyNumberFormat="1" applyFont="1" applyBorder="1" applyAlignment="1">
      <alignment vertical="center" wrapText="1"/>
    </xf>
    <xf numFmtId="0" fontId="73" fillId="0" borderId="13" xfId="0" applyFont="1" applyBorder="1" applyAlignment="1">
      <alignment vertical="center"/>
    </xf>
    <xf numFmtId="43" fontId="74" fillId="0" borderId="13" xfId="4" applyFont="1" applyBorder="1" applyAlignment="1">
      <alignment horizontal="left"/>
    </xf>
    <xf numFmtId="0" fontId="73" fillId="0" borderId="13" xfId="0" applyFont="1" applyBorder="1"/>
    <xf numFmtId="0" fontId="75" fillId="0" borderId="0" xfId="0" applyFont="1" applyAlignment="1">
      <alignment vertical="center"/>
    </xf>
    <xf numFmtId="0" fontId="75" fillId="0" borderId="0" xfId="0" applyFont="1" applyAlignment="1">
      <alignment horizontal="left"/>
    </xf>
    <xf numFmtId="0" fontId="76" fillId="0" borderId="13" xfId="0" applyFont="1" applyBorder="1" applyAlignment="1">
      <alignment horizontal="right"/>
    </xf>
    <xf numFmtId="43" fontId="76" fillId="0" borderId="13" xfId="4" applyFont="1" applyBorder="1" applyAlignment="1">
      <alignment horizontal="left"/>
    </xf>
    <xf numFmtId="43" fontId="75" fillId="0" borderId="13" xfId="0" applyNumberFormat="1" applyFont="1" applyBorder="1"/>
    <xf numFmtId="0" fontId="75" fillId="0" borderId="13" xfId="0" applyFont="1" applyBorder="1"/>
    <xf numFmtId="0" fontId="71" fillId="0" borderId="0" xfId="0" applyFont="1"/>
    <xf numFmtId="10" fontId="77" fillId="0" borderId="13" xfId="5" applyNumberFormat="1" applyFont="1" applyBorder="1" applyAlignment="1">
      <alignment horizontal="right"/>
    </xf>
    <xf numFmtId="0" fontId="73" fillId="0" borderId="0" xfId="0" applyFont="1" applyAlignment="1">
      <alignment vertical="center"/>
    </xf>
    <xf numFmtId="0" fontId="73" fillId="0" borderId="0" xfId="0" applyFont="1" applyAlignment="1">
      <alignment horizontal="left"/>
    </xf>
    <xf numFmtId="43" fontId="78" fillId="0" borderId="13" xfId="0" applyNumberFormat="1" applyFont="1" applyBorder="1" applyAlignment="1">
      <alignment horizontal="right"/>
    </xf>
    <xf numFmtId="0" fontId="73" fillId="0" borderId="0" xfId="0" applyFont="1" applyAlignment="1">
      <alignment horizontal="right"/>
    </xf>
    <xf numFmtId="0" fontId="73" fillId="0" borderId="0" xfId="0" applyFont="1"/>
    <xf numFmtId="0" fontId="67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80" fillId="0" borderId="1" xfId="0" applyFont="1" applyBorder="1" applyAlignment="1">
      <alignment horizontal="center"/>
    </xf>
    <xf numFmtId="14" fontId="80" fillId="0" borderId="1" xfId="0" applyNumberFormat="1" applyFont="1" applyBorder="1" applyAlignment="1">
      <alignment horizontal="center" vertical="center"/>
    </xf>
    <xf numFmtId="0" fontId="72" fillId="0" borderId="0" xfId="0" applyFont="1"/>
    <xf numFmtId="0" fontId="67" fillId="0" borderId="0" xfId="0" applyFont="1"/>
    <xf numFmtId="15" fontId="80" fillId="0" borderId="1" xfId="0" applyNumberFormat="1" applyFont="1" applyBorder="1" applyAlignment="1">
      <alignment horizontal="center" vertical="center"/>
    </xf>
    <xf numFmtId="0" fontId="69" fillId="0" borderId="0" xfId="0" applyFont="1" applyAlignment="1">
      <alignment horizontal="center"/>
    </xf>
    <xf numFmtId="0" fontId="69" fillId="0" borderId="0" xfId="0" applyFont="1" applyAlignment="1">
      <alignment horizontal="left"/>
    </xf>
    <xf numFmtId="0" fontId="81" fillId="0" borderId="1" xfId="0" applyFont="1" applyBorder="1" applyAlignment="1">
      <alignment horizontal="center"/>
    </xf>
    <xf numFmtId="10" fontId="81" fillId="0" borderId="1" xfId="0" applyNumberFormat="1" applyFont="1" applyBorder="1" applyAlignment="1">
      <alignment horizontal="center" vertical="center"/>
    </xf>
    <xf numFmtId="4" fontId="69" fillId="0" borderId="0" xfId="0" applyNumberFormat="1" applyFont="1" applyAlignment="1">
      <alignment horizontal="left"/>
    </xf>
    <xf numFmtId="10" fontId="82" fillId="0" borderId="0" xfId="0" applyNumberFormat="1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2" xfId="0" applyFont="1" applyBorder="1" applyAlignment="1">
      <alignment horizontal="center"/>
    </xf>
    <xf numFmtId="0" fontId="72" fillId="2" borderId="1" xfId="0" applyFont="1" applyFill="1" applyBorder="1" applyAlignment="1">
      <alignment horizontal="left"/>
    </xf>
    <xf numFmtId="0" fontId="72" fillId="0" borderId="1" xfId="0" applyFont="1" applyBorder="1" applyAlignment="1">
      <alignment horizontal="left" vertical="center" wrapText="1"/>
    </xf>
    <xf numFmtId="0" fontId="72" fillId="0" borderId="4" xfId="0" applyFont="1" applyBorder="1" applyAlignment="1">
      <alignment horizontal="center"/>
    </xf>
    <xf numFmtId="0" fontId="67" fillId="3" borderId="5" xfId="0" applyFont="1" applyFill="1" applyBorder="1" applyAlignment="1">
      <alignment horizontal="center"/>
    </xf>
    <xf numFmtId="4" fontId="67" fillId="3" borderId="5" xfId="0" applyNumberFormat="1" applyFont="1" applyFill="1" applyBorder="1"/>
    <xf numFmtId="0" fontId="67" fillId="4" borderId="1" xfId="0" applyFont="1" applyFill="1" applyBorder="1" applyAlignment="1">
      <alignment horizontal="center" vertical="center"/>
    </xf>
    <xf numFmtId="4" fontId="67" fillId="4" borderId="1" xfId="0" applyNumberFormat="1" applyFont="1" applyFill="1" applyBorder="1" applyAlignment="1">
      <alignment vertical="center"/>
    </xf>
    <xf numFmtId="10" fontId="83" fillId="0" borderId="0" xfId="0" applyNumberFormat="1" applyFont="1"/>
    <xf numFmtId="0" fontId="67" fillId="0" borderId="13" xfId="0" applyFont="1" applyBorder="1" applyAlignment="1">
      <alignment horizontal="center"/>
    </xf>
    <xf numFmtId="4" fontId="69" fillId="0" borderId="13" xfId="0" applyNumberFormat="1" applyFont="1" applyBorder="1" applyAlignment="1">
      <alignment horizontal="center" vertical="center"/>
    </xf>
    <xf numFmtId="44" fontId="82" fillId="0" borderId="13" xfId="0" applyNumberFormat="1" applyFont="1" applyBorder="1" applyAlignment="1">
      <alignment horizontal="left"/>
    </xf>
    <xf numFmtId="0" fontId="84" fillId="0" borderId="13" xfId="1" applyFont="1" applyBorder="1" applyAlignment="1" applyProtection="1">
      <alignment horizontal="center" vertical="center" textRotation="255"/>
      <protection locked="0"/>
    </xf>
    <xf numFmtId="0" fontId="70" fillId="0" borderId="13" xfId="1" applyFont="1" applyBorder="1" applyAlignment="1">
      <alignment horizontal="center" vertical="center"/>
    </xf>
    <xf numFmtId="0" fontId="84" fillId="0" borderId="12" xfId="1" applyFont="1" applyBorder="1" applyAlignment="1" applyProtection="1">
      <alignment vertical="center"/>
      <protection locked="0"/>
    </xf>
    <xf numFmtId="43" fontId="85" fillId="0" borderId="13" xfId="4" applyFont="1" applyBorder="1" applyAlignment="1">
      <alignment horizontal="right"/>
    </xf>
    <xf numFmtId="0" fontId="84" fillId="0" borderId="13" xfId="1" applyFont="1" applyBorder="1" applyAlignment="1" applyProtection="1">
      <alignment horizontal="center" vertical="center" textRotation="255" wrapText="1"/>
      <protection locked="0"/>
    </xf>
    <xf numFmtId="0" fontId="70" fillId="0" borderId="13" xfId="1" applyFont="1" applyBorder="1" applyAlignment="1" applyProtection="1">
      <alignment horizontal="center" vertical="center"/>
      <protection locked="0"/>
    </xf>
    <xf numFmtId="0" fontId="84" fillId="5" borderId="13" xfId="1" applyFont="1" applyFill="1" applyBorder="1" applyAlignment="1" applyProtection="1">
      <alignment horizontal="center" vertical="center" textRotation="255" wrapText="1"/>
      <protection locked="0"/>
    </xf>
    <xf numFmtId="0" fontId="84" fillId="0" borderId="13" xfId="0" applyFont="1" applyBorder="1" applyAlignment="1">
      <alignment horizontal="right"/>
    </xf>
    <xf numFmtId="43" fontId="84" fillId="0" borderId="13" xfId="4" applyFont="1" applyBorder="1" applyAlignment="1">
      <alignment horizontal="left"/>
    </xf>
    <xf numFmtId="43" fontId="73" fillId="0" borderId="13" xfId="0" applyNumberFormat="1" applyFont="1" applyBorder="1"/>
    <xf numFmtId="10" fontId="82" fillId="0" borderId="13" xfId="5" applyNumberFormat="1" applyFont="1" applyBorder="1" applyAlignment="1">
      <alignment horizontal="right"/>
    </xf>
    <xf numFmtId="43" fontId="73" fillId="0" borderId="13" xfId="4" applyFont="1" applyBorder="1" applyAlignment="1">
      <alignment horizontal="left"/>
    </xf>
    <xf numFmtId="43" fontId="86" fillId="0" borderId="13" xfId="0" applyNumberFormat="1" applyFont="1" applyBorder="1" applyAlignment="1">
      <alignment horizontal="right"/>
    </xf>
    <xf numFmtId="0" fontId="67" fillId="0" borderId="0" xfId="0" applyFont="1" applyAlignment="1">
      <alignment horizontal="center"/>
    </xf>
    <xf numFmtId="4" fontId="67" fillId="0" borderId="0" xfId="0" applyNumberFormat="1" applyFont="1"/>
    <xf numFmtId="0" fontId="67" fillId="0" borderId="0" xfId="0" applyFont="1" applyAlignment="1">
      <alignment horizontal="center" vertical="center"/>
    </xf>
    <xf numFmtId="4" fontId="67" fillId="0" borderId="0" xfId="0" applyNumberFormat="1" applyFont="1" applyAlignment="1">
      <alignment vertical="center"/>
    </xf>
    <xf numFmtId="0" fontId="70" fillId="0" borderId="0" xfId="1" applyFont="1"/>
    <xf numFmtId="0" fontId="87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89" fillId="0" borderId="1" xfId="0" applyFont="1" applyBorder="1" applyAlignment="1">
      <alignment horizontal="center"/>
    </xf>
    <xf numFmtId="14" fontId="89" fillId="0" borderId="1" xfId="0" applyNumberFormat="1" applyFont="1" applyBorder="1" applyAlignment="1">
      <alignment horizontal="center" vertical="center"/>
    </xf>
    <xf numFmtId="0" fontId="87" fillId="0" borderId="0" xfId="0" applyFont="1"/>
    <xf numFmtId="0" fontId="88" fillId="0" borderId="0" xfId="0" applyFont="1"/>
    <xf numFmtId="15" fontId="89" fillId="0" borderId="1" xfId="0" applyNumberFormat="1" applyFont="1" applyBorder="1" applyAlignment="1">
      <alignment horizontal="center" vertical="center"/>
    </xf>
    <xf numFmtId="0" fontId="88" fillId="0" borderId="0" xfId="0" applyFont="1" applyAlignment="1">
      <alignment horizontal="center"/>
    </xf>
    <xf numFmtId="0" fontId="88" fillId="0" borderId="0" xfId="0" applyFont="1" applyAlignment="1">
      <alignment horizontal="left"/>
    </xf>
    <xf numFmtId="0" fontId="90" fillId="0" borderId="1" xfId="0" applyFont="1" applyBorder="1" applyAlignment="1">
      <alignment horizontal="center"/>
    </xf>
    <xf numFmtId="10" fontId="90" fillId="0" borderId="1" xfId="0" applyNumberFormat="1" applyFont="1" applyBorder="1" applyAlignment="1">
      <alignment horizontal="center" vertical="center"/>
    </xf>
    <xf numFmtId="4" fontId="88" fillId="0" borderId="0" xfId="0" applyNumberFormat="1" applyFont="1" applyAlignment="1">
      <alignment horizontal="left"/>
    </xf>
    <xf numFmtId="0" fontId="87" fillId="0" borderId="0" xfId="0" applyFont="1" applyAlignment="1">
      <alignment horizontal="right"/>
    </xf>
    <xf numFmtId="10" fontId="77" fillId="0" borderId="0" xfId="0" applyNumberFormat="1" applyFont="1" applyAlignment="1">
      <alignment horizontal="left"/>
    </xf>
    <xf numFmtId="10" fontId="91" fillId="0" borderId="0" xfId="0" applyNumberFormat="1" applyFont="1" applyAlignment="1">
      <alignment horizontal="left"/>
    </xf>
    <xf numFmtId="0" fontId="87" fillId="0" borderId="1" xfId="0" applyFont="1" applyBorder="1" applyAlignment="1">
      <alignment horizontal="center"/>
    </xf>
    <xf numFmtId="0" fontId="87" fillId="0" borderId="2" xfId="0" applyFont="1" applyBorder="1" applyAlignment="1">
      <alignment horizontal="center"/>
    </xf>
    <xf numFmtId="0" fontId="88" fillId="0" borderId="3" xfId="0" applyFont="1" applyBorder="1" applyAlignment="1">
      <alignment vertical="center"/>
    </xf>
    <xf numFmtId="0" fontId="92" fillId="2" borderId="1" xfId="0" applyFont="1" applyFill="1" applyBorder="1" applyAlignment="1">
      <alignment horizontal="left"/>
    </xf>
    <xf numFmtId="0" fontId="92" fillId="2" borderId="1" xfId="0" applyFont="1" applyFill="1" applyBorder="1" applyAlignment="1">
      <alignment horizontal="right"/>
    </xf>
    <xf numFmtId="0" fontId="88" fillId="0" borderId="4" xfId="0" applyFont="1" applyBorder="1"/>
    <xf numFmtId="0" fontId="74" fillId="0" borderId="1" xfId="0" applyFont="1" applyBorder="1" applyAlignment="1">
      <alignment horizontal="center"/>
    </xf>
    <xf numFmtId="0" fontId="74" fillId="0" borderId="3" xfId="0" applyFont="1" applyBorder="1" applyAlignment="1">
      <alignment horizontal="center"/>
    </xf>
    <xf numFmtId="0" fontId="74" fillId="0" borderId="1" xfId="0" applyFont="1" applyBorder="1" applyAlignment="1">
      <alignment horizontal="left" vertical="center" wrapText="1"/>
    </xf>
    <xf numFmtId="0" fontId="74" fillId="2" borderId="1" xfId="0" applyFont="1" applyFill="1" applyBorder="1" applyAlignment="1">
      <alignment horizontal="center" vertical="center"/>
    </xf>
    <xf numFmtId="43" fontId="74" fillId="0" borderId="1" xfId="4" applyFont="1" applyBorder="1" applyAlignment="1">
      <alignment horizontal="right" vertical="center" wrapText="1"/>
    </xf>
    <xf numFmtId="0" fontId="74" fillId="0" borderId="1" xfId="0" applyFont="1" applyBorder="1" applyAlignment="1">
      <alignment horizontal="center" wrapText="1"/>
    </xf>
    <xf numFmtId="0" fontId="75" fillId="0" borderId="1" xfId="0" applyFont="1" applyBorder="1" applyAlignment="1">
      <alignment horizontal="left" vertical="center" wrapText="1"/>
    </xf>
    <xf numFmtId="0" fontId="75" fillId="2" borderId="1" xfId="0" applyFont="1" applyFill="1" applyBorder="1" applyAlignment="1">
      <alignment horizontal="center" vertical="center"/>
    </xf>
    <xf numFmtId="43" fontId="75" fillId="0" borderId="1" xfId="4" applyFont="1" applyBorder="1" applyAlignment="1">
      <alignment horizontal="right" vertical="center" wrapText="1"/>
    </xf>
    <xf numFmtId="0" fontId="74" fillId="2" borderId="1" xfId="0" applyFont="1" applyFill="1" applyBorder="1" applyAlignment="1">
      <alignment horizontal="left"/>
    </xf>
    <xf numFmtId="43" fontId="74" fillId="2" borderId="1" xfId="4" applyFont="1" applyFill="1" applyBorder="1" applyAlignment="1">
      <alignment horizontal="right"/>
    </xf>
    <xf numFmtId="14" fontId="74" fillId="0" borderId="1" xfId="0" applyNumberFormat="1" applyFont="1" applyBorder="1" applyAlignment="1">
      <alignment horizontal="center" vertical="center"/>
    </xf>
    <xf numFmtId="0" fontId="75" fillId="2" borderId="1" xfId="0" applyFont="1" applyFill="1" applyBorder="1" applyAlignment="1">
      <alignment horizontal="left"/>
    </xf>
    <xf numFmtId="43" fontId="75" fillId="2" borderId="1" xfId="4" applyFont="1" applyFill="1" applyBorder="1" applyAlignment="1">
      <alignment horizontal="right"/>
    </xf>
    <xf numFmtId="0" fontId="75" fillId="0" borderId="4" xfId="0" applyFont="1" applyBorder="1" applyAlignment="1">
      <alignment horizontal="center"/>
    </xf>
    <xf numFmtId="0" fontId="75" fillId="0" borderId="3" xfId="0" applyFont="1" applyBorder="1" applyAlignment="1">
      <alignment horizontal="center" vertical="center"/>
    </xf>
    <xf numFmtId="0" fontId="87" fillId="3" borderId="5" xfId="0" applyFont="1" applyFill="1" applyBorder="1" applyAlignment="1">
      <alignment horizontal="center"/>
    </xf>
    <xf numFmtId="4" fontId="87" fillId="3" borderId="5" xfId="0" applyNumberFormat="1" applyFont="1" applyFill="1" applyBorder="1"/>
    <xf numFmtId="0" fontId="87" fillId="4" borderId="1" xfId="0" applyFont="1" applyFill="1" applyBorder="1" applyAlignment="1">
      <alignment horizontal="center" vertical="center"/>
    </xf>
    <xf numFmtId="4" fontId="87" fillId="4" borderId="1" xfId="0" applyNumberFormat="1" applyFont="1" applyFill="1" applyBorder="1" applyAlignment="1">
      <alignment vertical="center"/>
    </xf>
    <xf numFmtId="10" fontId="93" fillId="0" borderId="0" xfId="0" applyNumberFormat="1" applyFont="1"/>
    <xf numFmtId="0" fontId="87" fillId="0" borderId="13" xfId="0" applyFont="1" applyBorder="1" applyAlignment="1">
      <alignment horizontal="center"/>
    </xf>
    <xf numFmtId="4" fontId="88" fillId="0" borderId="13" xfId="0" applyNumberFormat="1" applyFont="1" applyBorder="1" applyAlignment="1">
      <alignment horizontal="center" vertical="center"/>
    </xf>
    <xf numFmtId="0" fontId="87" fillId="0" borderId="13" xfId="0" applyFont="1" applyBorder="1" applyAlignment="1">
      <alignment horizontal="center" vertical="center"/>
    </xf>
    <xf numFmtId="44" fontId="77" fillId="0" borderId="13" xfId="0" applyNumberFormat="1" applyFont="1" applyBorder="1" applyAlignment="1">
      <alignment horizontal="left"/>
    </xf>
    <xf numFmtId="0" fontId="76" fillId="0" borderId="13" xfId="1" applyFont="1" applyBorder="1" applyAlignment="1" applyProtection="1">
      <alignment horizontal="center" vertical="center" textRotation="255"/>
      <protection locked="0"/>
    </xf>
    <xf numFmtId="0" fontId="74" fillId="0" borderId="13" xfId="1" applyFont="1" applyBorder="1" applyAlignment="1">
      <alignment horizontal="center" vertical="center"/>
    </xf>
    <xf numFmtId="0" fontId="76" fillId="0" borderId="12" xfId="1" applyFont="1" applyBorder="1" applyAlignment="1" applyProtection="1">
      <alignment vertical="center"/>
      <protection locked="0"/>
    </xf>
    <xf numFmtId="43" fontId="94" fillId="0" borderId="13" xfId="4" applyFont="1" applyBorder="1" applyAlignment="1">
      <alignment horizontal="right"/>
    </xf>
    <xf numFmtId="43" fontId="75" fillId="0" borderId="13" xfId="0" applyNumberFormat="1" applyFont="1" applyBorder="1" applyAlignment="1">
      <alignment vertical="center" wrapText="1"/>
    </xf>
    <xf numFmtId="0" fontId="76" fillId="0" borderId="13" xfId="1" applyFont="1" applyBorder="1" applyAlignment="1" applyProtection="1">
      <alignment horizontal="center" vertical="center" textRotation="255" wrapText="1"/>
      <protection locked="0"/>
    </xf>
    <xf numFmtId="0" fontId="74" fillId="0" borderId="13" xfId="1" applyFont="1" applyBorder="1" applyAlignment="1" applyProtection="1">
      <alignment horizontal="center" vertical="center"/>
      <protection locked="0"/>
    </xf>
    <xf numFmtId="0" fontId="76" fillId="5" borderId="13" xfId="1" applyFont="1" applyFill="1" applyBorder="1" applyAlignment="1" applyProtection="1">
      <alignment horizontal="center" vertical="center" textRotation="255" wrapText="1"/>
      <protection locked="0"/>
    </xf>
    <xf numFmtId="43" fontId="75" fillId="0" borderId="13" xfId="4" applyFont="1" applyBorder="1" applyAlignment="1">
      <alignment horizontal="left"/>
    </xf>
    <xf numFmtId="0" fontId="75" fillId="0" borderId="0" xfId="0" applyFont="1" applyAlignment="1">
      <alignment horizontal="right"/>
    </xf>
    <xf numFmtId="0" fontId="75" fillId="0" borderId="0" xfId="0" applyFont="1"/>
    <xf numFmtId="0" fontId="87" fillId="0" borderId="0" xfId="0" applyFont="1" applyAlignment="1">
      <alignment horizontal="center"/>
    </xf>
    <xf numFmtId="4" fontId="87" fillId="0" borderId="0" xfId="0" applyNumberFormat="1" applyFont="1"/>
    <xf numFmtId="0" fontId="87" fillId="0" borderId="0" xfId="0" applyFont="1" applyAlignment="1">
      <alignment horizontal="center" vertical="center"/>
    </xf>
    <xf numFmtId="4" fontId="87" fillId="0" borderId="0" xfId="0" applyNumberFormat="1" applyFont="1" applyAlignment="1">
      <alignment vertical="center"/>
    </xf>
    <xf numFmtId="0" fontId="74" fillId="0" borderId="0" xfId="1" applyFont="1"/>
    <xf numFmtId="0" fontId="88" fillId="0" borderId="1" xfId="0" applyFont="1" applyBorder="1" applyAlignment="1">
      <alignment horizontal="center"/>
    </xf>
    <xf numFmtId="14" fontId="71" fillId="0" borderId="1" xfId="0" applyNumberFormat="1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75" fillId="0" borderId="1" xfId="0" applyFont="1" applyBorder="1" applyAlignment="1">
      <alignment horizontal="center"/>
    </xf>
    <xf numFmtId="0" fontId="75" fillId="0" borderId="13" xfId="0" applyFont="1" applyBorder="1" applyAlignment="1">
      <alignment horizontal="center" vertical="center"/>
    </xf>
    <xf numFmtId="0" fontId="75" fillId="0" borderId="13" xfId="0" applyFont="1" applyBorder="1" applyAlignment="1">
      <alignment horizontal="center"/>
    </xf>
    <xf numFmtId="0" fontId="75" fillId="0" borderId="0" xfId="0" applyFont="1" applyAlignment="1">
      <alignment horizontal="center"/>
    </xf>
    <xf numFmtId="0" fontId="74" fillId="0" borderId="0" xfId="1" applyFont="1" applyAlignment="1">
      <alignment horizontal="center"/>
    </xf>
    <xf numFmtId="0" fontId="72" fillId="0" borderId="3" xfId="0" applyFont="1" applyBorder="1" applyAlignment="1">
      <alignment vertical="center"/>
    </xf>
    <xf numFmtId="0" fontId="72" fillId="2" borderId="1" xfId="0" applyFont="1" applyFill="1" applyBorder="1" applyAlignment="1">
      <alignment horizontal="right"/>
    </xf>
    <xf numFmtId="0" fontId="72" fillId="0" borderId="4" xfId="0" applyFont="1" applyBorder="1"/>
    <xf numFmtId="0" fontId="72" fillId="0" borderId="1" xfId="0" applyFont="1" applyBorder="1" applyAlignment="1">
      <alignment horizontal="center"/>
    </xf>
    <xf numFmtId="14" fontId="72" fillId="0" borderId="1" xfId="0" applyNumberFormat="1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2" fillId="0" borderId="1" xfId="0" applyFont="1" applyBorder="1"/>
    <xf numFmtId="0" fontId="73" fillId="2" borderId="1" xfId="0" applyFont="1" applyFill="1" applyBorder="1" applyAlignment="1">
      <alignment horizontal="right"/>
    </xf>
    <xf numFmtId="0" fontId="80" fillId="0" borderId="0" xfId="0" applyFont="1" applyAlignment="1">
      <alignment horizontal="center"/>
    </xf>
    <xf numFmtId="4" fontId="69" fillId="0" borderId="0" xfId="0" applyNumberFormat="1" applyFont="1"/>
    <xf numFmtId="43" fontId="95" fillId="0" borderId="0" xfId="4" applyFont="1"/>
    <xf numFmtId="43" fontId="72" fillId="0" borderId="0" xfId="4" applyFont="1"/>
    <xf numFmtId="43" fontId="80" fillId="0" borderId="0" xfId="0" applyNumberFormat="1" applyFont="1"/>
    <xf numFmtId="0" fontId="72" fillId="2" borderId="1" xfId="0" applyFont="1" applyFill="1" applyBorder="1" applyAlignment="1">
      <alignment horizontal="center"/>
    </xf>
    <xf numFmtId="4" fontId="72" fillId="0" borderId="1" xfId="0" applyNumberFormat="1" applyFont="1" applyBorder="1" applyAlignment="1">
      <alignment horizontal="right" vertical="center" wrapText="1"/>
    </xf>
    <xf numFmtId="0" fontId="72" fillId="0" borderId="3" xfId="0" applyFont="1" applyBorder="1" applyAlignment="1">
      <alignment horizontal="center"/>
    </xf>
    <xf numFmtId="43" fontId="72" fillId="2" borderId="1" xfId="4" applyFont="1" applyFill="1" applyBorder="1" applyAlignment="1">
      <alignment horizontal="right"/>
    </xf>
    <xf numFmtId="0" fontId="72" fillId="0" borderId="1" xfId="0" applyFont="1" applyBorder="1" applyAlignment="1">
      <alignment horizontal="center" wrapText="1"/>
    </xf>
    <xf numFmtId="14" fontId="72" fillId="0" borderId="3" xfId="0" applyNumberFormat="1" applyFont="1" applyBorder="1" applyAlignment="1">
      <alignment horizontal="center"/>
    </xf>
    <xf numFmtId="4" fontId="72" fillId="2" borderId="1" xfId="0" applyNumberFormat="1" applyFont="1" applyFill="1" applyBorder="1" applyAlignment="1">
      <alignment horizontal="right"/>
    </xf>
    <xf numFmtId="0" fontId="80" fillId="0" borderId="13" xfId="0" applyFont="1" applyBorder="1" applyAlignment="1">
      <alignment horizontal="center"/>
    </xf>
    <xf numFmtId="43" fontId="70" fillId="6" borderId="13" xfId="4" applyFont="1" applyFill="1" applyBorder="1" applyAlignment="1">
      <alignment horizontal="left" vertical="center" wrapText="1"/>
    </xf>
    <xf numFmtId="43" fontId="72" fillId="0" borderId="13" xfId="4" applyFont="1" applyBorder="1"/>
    <xf numFmtId="43" fontId="73" fillId="6" borderId="13" xfId="4" applyFont="1" applyFill="1" applyBorder="1"/>
    <xf numFmtId="43" fontId="73" fillId="0" borderId="13" xfId="4" applyFont="1" applyBorder="1"/>
    <xf numFmtId="43" fontId="72" fillId="0" borderId="0" xfId="0" applyNumberFormat="1" applyFont="1"/>
    <xf numFmtId="43" fontId="80" fillId="0" borderId="28" xfId="0" applyNumberFormat="1" applyFont="1" applyBorder="1"/>
    <xf numFmtId="43" fontId="0" fillId="0" borderId="0" xfId="4" applyFont="1" applyBorder="1"/>
    <xf numFmtId="43" fontId="0" fillId="0" borderId="28" xfId="4" applyFont="1" applyBorder="1"/>
    <xf numFmtId="43" fontId="33" fillId="0" borderId="28" xfId="0" applyNumberFormat="1" applyFont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58" fillId="7" borderId="13" xfId="0" applyFont="1" applyFill="1" applyBorder="1" applyAlignment="1">
      <alignment horizontal="center" vertical="center"/>
    </xf>
    <xf numFmtId="43" fontId="59" fillId="0" borderId="0" xfId="0" applyNumberFormat="1" applyFont="1" applyAlignment="1">
      <alignment horizontal="center" vertical="center"/>
    </xf>
    <xf numFmtId="43" fontId="33" fillId="0" borderId="0" xfId="0" applyNumberFormat="1" applyFont="1" applyAlignment="1">
      <alignment horizontal="center" vertical="center"/>
    </xf>
    <xf numFmtId="43" fontId="55" fillId="2" borderId="1" xfId="4" applyFont="1" applyFill="1" applyBorder="1" applyAlignment="1">
      <alignment horizontal="right"/>
    </xf>
    <xf numFmtId="0" fontId="55" fillId="2" borderId="1" xfId="0" applyFont="1" applyFill="1" applyBorder="1" applyAlignment="1">
      <alignment horizontal="center"/>
    </xf>
    <xf numFmtId="10" fontId="42" fillId="0" borderId="13" xfId="5" applyNumberFormat="1" applyFont="1" applyBorder="1" applyAlignment="1">
      <alignment horizontal="right"/>
    </xf>
    <xf numFmtId="43" fontId="97" fillId="0" borderId="0" xfId="0" applyNumberFormat="1" applyFont="1" applyAlignment="1">
      <alignment horizontal="left"/>
    </xf>
    <xf numFmtId="9" fontId="98" fillId="0" borderId="0" xfId="0" applyNumberFormat="1" applyFont="1" applyAlignment="1">
      <alignment horizontal="right"/>
    </xf>
    <xf numFmtId="43" fontId="29" fillId="2" borderId="1" xfId="4" applyFont="1" applyFill="1" applyBorder="1" applyAlignment="1">
      <alignment horizontal="right"/>
    </xf>
    <xf numFmtId="0" fontId="43" fillId="0" borderId="36" xfId="6" applyFont="1" applyBorder="1" applyAlignment="1">
      <alignment horizontal="center" vertical="center"/>
    </xf>
    <xf numFmtId="0" fontId="43" fillId="0" borderId="37" xfId="6" applyFont="1" applyBorder="1" applyAlignment="1">
      <alignment horizontal="center" vertical="center"/>
    </xf>
    <xf numFmtId="0" fontId="43" fillId="0" borderId="38" xfId="6" applyFont="1" applyBorder="1" applyAlignment="1">
      <alignment horizontal="center" vertical="center" wrapText="1"/>
    </xf>
    <xf numFmtId="0" fontId="43" fillId="0" borderId="37" xfId="6" applyFont="1" applyBorder="1" applyAlignment="1">
      <alignment horizontal="center" vertical="center" wrapText="1"/>
    </xf>
    <xf numFmtId="0" fontId="45" fillId="0" borderId="17" xfId="6" applyFont="1" applyBorder="1" applyAlignment="1">
      <alignment horizontal="center" vertical="center"/>
    </xf>
    <xf numFmtId="187" fontId="40" fillId="0" borderId="33" xfId="7" applyFont="1" applyBorder="1"/>
    <xf numFmtId="0" fontId="46" fillId="0" borderId="34" xfId="6" applyFont="1" applyBorder="1" applyAlignment="1">
      <alignment horizontal="center"/>
    </xf>
    <xf numFmtId="43" fontId="99" fillId="0" borderId="0" xfId="4" applyFont="1" applyAlignment="1">
      <alignment horizontal="left"/>
    </xf>
    <xf numFmtId="43" fontId="100" fillId="0" borderId="28" xfId="4" applyFont="1" applyBorder="1" applyAlignment="1">
      <alignment horizontal="left"/>
    </xf>
    <xf numFmtId="187" fontId="63" fillId="0" borderId="20" xfId="7" applyFont="1" applyFill="1" applyBorder="1"/>
    <xf numFmtId="0" fontId="32" fillId="0" borderId="1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0" fontId="98" fillId="0" borderId="0" xfId="0" applyNumberFormat="1" applyFont="1" applyAlignment="1">
      <alignment horizontal="right"/>
    </xf>
    <xf numFmtId="0" fontId="102" fillId="0" borderId="13" xfId="6" applyFont="1" applyBorder="1" applyAlignment="1">
      <alignment horizontal="center" vertical="center"/>
    </xf>
    <xf numFmtId="187" fontId="103" fillId="6" borderId="13" xfId="7" applyFont="1" applyFill="1" applyBorder="1" applyAlignment="1">
      <alignment horizontal="center" vertical="center"/>
    </xf>
    <xf numFmtId="187" fontId="103" fillId="0" borderId="13" xfId="7" applyFont="1" applyBorder="1" applyAlignment="1">
      <alignment horizontal="center" vertical="center"/>
    </xf>
    <xf numFmtId="187" fontId="105" fillId="0" borderId="13" xfId="7" applyFont="1" applyBorder="1" applyAlignment="1">
      <alignment horizontal="center" vertical="center"/>
    </xf>
    <xf numFmtId="0" fontId="63" fillId="0" borderId="18" xfId="6" applyFont="1" applyBorder="1" applyAlignment="1">
      <alignment horizontal="center"/>
    </xf>
    <xf numFmtId="14" fontId="31" fillId="0" borderId="1" xfId="0" applyNumberFormat="1" applyFont="1" applyBorder="1" applyAlignment="1">
      <alignment horizontal="center" vertical="center"/>
    </xf>
    <xf numFmtId="0" fontId="107" fillId="0" borderId="13" xfId="9" applyFont="1" applyBorder="1" applyAlignment="1">
      <alignment horizontal="center" vertical="center"/>
    </xf>
    <xf numFmtId="0" fontId="106" fillId="0" borderId="0" xfId="9" applyAlignment="1">
      <alignment horizontal="center" vertical="center"/>
    </xf>
    <xf numFmtId="0" fontId="106" fillId="0" borderId="13" xfId="9" applyBorder="1" applyAlignment="1">
      <alignment horizontal="center" vertical="center"/>
    </xf>
    <xf numFmtId="0" fontId="106" fillId="0" borderId="13" xfId="9" applyBorder="1" applyAlignment="1">
      <alignment vertical="center"/>
    </xf>
    <xf numFmtId="43" fontId="0" fillId="0" borderId="13" xfId="4" applyFont="1" applyBorder="1" applyAlignment="1">
      <alignment vertical="center"/>
    </xf>
    <xf numFmtId="189" fontId="106" fillId="0" borderId="13" xfId="9" applyNumberFormat="1" applyBorder="1" applyAlignment="1">
      <alignment horizontal="center" vertical="center"/>
    </xf>
    <xf numFmtId="0" fontId="106" fillId="0" borderId="0" xfId="9"/>
    <xf numFmtId="43" fontId="108" fillId="0" borderId="13" xfId="9" applyNumberFormat="1" applyFont="1" applyBorder="1"/>
    <xf numFmtId="9" fontId="106" fillId="0" borderId="0" xfId="5" applyFont="1"/>
    <xf numFmtId="4" fontId="43" fillId="0" borderId="13" xfId="6" applyNumberFormat="1" applyFont="1" applyBorder="1"/>
    <xf numFmtId="187" fontId="101" fillId="0" borderId="13" xfId="7" applyFont="1" applyFill="1" applyBorder="1"/>
    <xf numFmtId="187" fontId="43" fillId="0" borderId="13" xfId="7" applyFont="1" applyFill="1" applyBorder="1"/>
    <xf numFmtId="10" fontId="44" fillId="0" borderId="12" xfId="8" applyNumberFormat="1" applyFont="1" applyFill="1" applyBorder="1" applyAlignment="1">
      <alignment horizontal="center"/>
    </xf>
    <xf numFmtId="187" fontId="40" fillId="0" borderId="13" xfId="7" applyFont="1" applyFill="1" applyBorder="1"/>
    <xf numFmtId="187" fontId="62" fillId="0" borderId="12" xfId="7" applyFont="1" applyFill="1" applyBorder="1"/>
    <xf numFmtId="9" fontId="64" fillId="0" borderId="18" xfId="5" applyFont="1" applyFill="1" applyBorder="1" applyAlignment="1">
      <alignment horizontal="center"/>
    </xf>
    <xf numFmtId="9" fontId="106" fillId="0" borderId="13" xfId="5" applyFont="1" applyBorder="1"/>
    <xf numFmtId="0" fontId="31" fillId="6" borderId="1" xfId="0" applyFont="1" applyFill="1" applyBorder="1" applyAlignment="1">
      <alignment horizontal="left" vertical="center" wrapText="1"/>
    </xf>
    <xf numFmtId="14" fontId="109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43" fontId="31" fillId="2" borderId="1" xfId="4" applyFont="1" applyFill="1" applyBorder="1" applyAlignment="1">
      <alignment horizontal="right" vertical="center"/>
    </xf>
    <xf numFmtId="0" fontId="31" fillId="2" borderId="1" xfId="0" applyFont="1" applyFill="1" applyBorder="1" applyAlignment="1">
      <alignment horizontal="right" vertical="center"/>
    </xf>
    <xf numFmtId="0" fontId="29" fillId="0" borderId="1" xfId="0" applyFont="1" applyBorder="1" applyAlignment="1">
      <alignment vertical="center"/>
    </xf>
    <xf numFmtId="14" fontId="31" fillId="0" borderId="1" xfId="0" applyNumberFormat="1" applyFont="1" applyBorder="1" applyAlignment="1">
      <alignment vertical="center"/>
    </xf>
    <xf numFmtId="10" fontId="104" fillId="0" borderId="12" xfId="8" applyNumberFormat="1" applyFont="1" applyBorder="1" applyAlignment="1">
      <alignment horizontal="center" vertical="center"/>
    </xf>
    <xf numFmtId="187" fontId="49" fillId="0" borderId="16" xfId="7" applyFont="1" applyBorder="1"/>
    <xf numFmtId="0" fontId="31" fillId="0" borderId="1" xfId="0" applyFont="1" applyBorder="1" applyAlignment="1">
      <alignment horizontal="left"/>
    </xf>
    <xf numFmtId="43" fontId="31" fillId="0" borderId="1" xfId="4" applyFont="1" applyFill="1" applyBorder="1" applyAlignment="1">
      <alignment horizontal="right"/>
    </xf>
    <xf numFmtId="190" fontId="31" fillId="0" borderId="1" xfId="0" applyNumberFormat="1" applyFont="1" applyBorder="1" applyAlignment="1">
      <alignment horizontal="center"/>
    </xf>
    <xf numFmtId="14" fontId="31" fillId="0" borderId="3" xfId="0" applyNumberFormat="1" applyFont="1" applyBorder="1" applyAlignment="1">
      <alignment vertical="center"/>
    </xf>
    <xf numFmtId="187" fontId="53" fillId="0" borderId="13" xfId="7" applyFont="1" applyFill="1" applyBorder="1"/>
    <xf numFmtId="0" fontId="109" fillId="2" borderId="1" xfId="0" applyFont="1" applyFill="1" applyBorder="1" applyAlignment="1">
      <alignment horizontal="center"/>
    </xf>
    <xf numFmtId="0" fontId="109" fillId="0" borderId="1" xfId="0" applyFont="1" applyBorder="1" applyAlignment="1">
      <alignment horizontal="left" vertical="center" wrapText="1"/>
    </xf>
    <xf numFmtId="0" fontId="110" fillId="2" borderId="1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4" fontId="14" fillId="4" borderId="2" xfId="0" applyNumberFormat="1" applyFont="1" applyFill="1" applyBorder="1" applyAlignment="1">
      <alignment vertical="center"/>
    </xf>
    <xf numFmtId="0" fontId="14" fillId="0" borderId="13" xfId="0" applyFont="1" applyBorder="1" applyAlignment="1">
      <alignment horizontal="right" indent="1"/>
    </xf>
    <xf numFmtId="43" fontId="14" fillId="0" borderId="13" xfId="4" applyFont="1" applyBorder="1"/>
    <xf numFmtId="0" fontId="0" fillId="8" borderId="13" xfId="0" applyFill="1" applyBorder="1"/>
    <xf numFmtId="0" fontId="111" fillId="0" borderId="3" xfId="0" applyFont="1" applyBorder="1"/>
    <xf numFmtId="0" fontId="109" fillId="2" borderId="1" xfId="0" applyFont="1" applyFill="1" applyBorder="1" applyAlignment="1">
      <alignment horizontal="left"/>
    </xf>
    <xf numFmtId="43" fontId="109" fillId="2" borderId="1" xfId="4" applyFont="1" applyFill="1" applyBorder="1" applyAlignment="1">
      <alignment horizontal="right"/>
    </xf>
    <xf numFmtId="0" fontId="109" fillId="0" borderId="4" xfId="0" applyFont="1" applyBorder="1" applyAlignment="1">
      <alignment horizontal="center"/>
    </xf>
    <xf numFmtId="0" fontId="45" fillId="0" borderId="13" xfId="6" quotePrefix="1" applyFont="1" applyBorder="1"/>
    <xf numFmtId="0" fontId="43" fillId="0" borderId="14" xfId="6" applyFont="1" applyBorder="1" applyAlignment="1">
      <alignment horizontal="center" vertical="center" wrapText="1"/>
    </xf>
    <xf numFmtId="9" fontId="46" fillId="0" borderId="26" xfId="5" applyFont="1" applyBorder="1" applyAlignment="1">
      <alignment horizontal="center"/>
    </xf>
    <xf numFmtId="9" fontId="62" fillId="0" borderId="18" xfId="5" applyFont="1" applyFill="1" applyBorder="1" applyAlignment="1">
      <alignment horizontal="center"/>
    </xf>
    <xf numFmtId="9" fontId="45" fillId="0" borderId="18" xfId="5" applyFont="1" applyBorder="1" applyAlignment="1">
      <alignment horizontal="center"/>
    </xf>
    <xf numFmtId="9" fontId="46" fillId="0" borderId="20" xfId="5" applyFont="1" applyBorder="1" applyAlignment="1">
      <alignment horizontal="center"/>
    </xf>
    <xf numFmtId="10" fontId="47" fillId="0" borderId="17" xfId="8" applyNumberFormat="1" applyFont="1" applyFill="1" applyBorder="1" applyAlignment="1">
      <alignment horizontal="center"/>
    </xf>
    <xf numFmtId="10" fontId="45" fillId="0" borderId="17" xfId="6" applyNumberFormat="1" applyFont="1" applyBorder="1" applyAlignment="1">
      <alignment horizontal="center"/>
    </xf>
    <xf numFmtId="0" fontId="45" fillId="0" borderId="19" xfId="6" applyFont="1" applyBorder="1" applyAlignment="1">
      <alignment horizontal="center"/>
    </xf>
    <xf numFmtId="43" fontId="62" fillId="0" borderId="24" xfId="4" applyFont="1" applyFill="1" applyBorder="1" applyAlignment="1">
      <alignment horizontal="center"/>
    </xf>
    <xf numFmtId="0" fontId="109" fillId="9" borderId="1" xfId="0" applyFont="1" applyFill="1" applyBorder="1" applyAlignment="1">
      <alignment horizontal="left"/>
    </xf>
    <xf numFmtId="43" fontId="109" fillId="9" borderId="1" xfId="4" applyFont="1" applyFill="1" applyBorder="1" applyAlignment="1">
      <alignment horizontal="right"/>
    </xf>
    <xf numFmtId="9" fontId="21" fillId="0" borderId="0" xfId="0" applyNumberFormat="1" applyFont="1" applyAlignment="1">
      <alignment horizontal="center"/>
    </xf>
    <xf numFmtId="43" fontId="21" fillId="0" borderId="0" xfId="0" applyNumberFormat="1" applyFont="1" applyAlignment="1">
      <alignment horizontal="left"/>
    </xf>
    <xf numFmtId="14" fontId="109" fillId="0" borderId="3" xfId="0" applyNumberFormat="1" applyFont="1" applyBorder="1" applyAlignment="1">
      <alignment vertical="center"/>
    </xf>
    <xf numFmtId="0" fontId="21" fillId="0" borderId="0" xfId="0" applyFont="1" applyAlignment="1">
      <alignment horizontal="right" indent="1"/>
    </xf>
    <xf numFmtId="0" fontId="38" fillId="0" borderId="0" xfId="0" applyFont="1" applyAlignment="1">
      <alignment horizontal="right" indent="1"/>
    </xf>
    <xf numFmtId="43" fontId="38" fillId="0" borderId="0" xfId="0" applyNumberFormat="1" applyFont="1" applyAlignment="1">
      <alignment horizontal="left"/>
    </xf>
    <xf numFmtId="43" fontId="45" fillId="0" borderId="24" xfId="4" applyFont="1" applyBorder="1" applyAlignment="1">
      <alignment horizontal="center"/>
    </xf>
    <xf numFmtId="14" fontId="62" fillId="0" borderId="24" xfId="4" applyNumberFormat="1" applyFont="1" applyFill="1" applyBorder="1" applyAlignment="1">
      <alignment horizontal="center"/>
    </xf>
    <xf numFmtId="43" fontId="109" fillId="0" borderId="1" xfId="4" applyFont="1" applyBorder="1" applyAlignment="1">
      <alignment horizontal="right" vertical="center" wrapText="1"/>
    </xf>
    <xf numFmtId="4" fontId="63" fillId="6" borderId="0" xfId="0" applyNumberFormat="1" applyFont="1" applyFill="1"/>
    <xf numFmtId="0" fontId="96" fillId="0" borderId="13" xfId="6" applyFont="1" applyBorder="1"/>
    <xf numFmtId="14" fontId="62" fillId="0" borderId="24" xfId="5" applyNumberFormat="1" applyFont="1" applyFill="1" applyBorder="1" applyAlignment="1">
      <alignment horizontal="center"/>
    </xf>
    <xf numFmtId="14" fontId="45" fillId="0" borderId="24" xfId="5" applyNumberFormat="1" applyFont="1" applyBorder="1" applyAlignment="1">
      <alignment horizontal="center"/>
    </xf>
    <xf numFmtId="14" fontId="46" fillId="0" borderId="26" xfId="5" applyNumberFormat="1" applyFont="1" applyBorder="1" applyAlignment="1">
      <alignment horizontal="center"/>
    </xf>
    <xf numFmtId="43" fontId="112" fillId="0" borderId="26" xfId="5" applyNumberFormat="1" applyFont="1" applyBorder="1" applyAlignment="1">
      <alignment horizontal="center"/>
    </xf>
    <xf numFmtId="0" fontId="110" fillId="0" borderId="1" xfId="0" applyFont="1" applyBorder="1" applyAlignment="1">
      <alignment horizontal="left" vertical="center" wrapText="1"/>
    </xf>
    <xf numFmtId="43" fontId="114" fillId="2" borderId="1" xfId="4" applyFont="1" applyFill="1" applyBorder="1" applyAlignment="1">
      <alignment horizontal="right"/>
    </xf>
    <xf numFmtId="0" fontId="110" fillId="2" borderId="1" xfId="0" applyFont="1" applyFill="1" applyBorder="1" applyAlignment="1">
      <alignment horizontal="left"/>
    </xf>
    <xf numFmtId="43" fontId="110" fillId="2" borderId="1" xfId="4" applyFont="1" applyFill="1" applyBorder="1" applyAlignment="1">
      <alignment horizontal="right"/>
    </xf>
    <xf numFmtId="187" fontId="113" fillId="0" borderId="18" xfId="6" applyNumberFormat="1" applyFont="1" applyBorder="1" applyAlignment="1">
      <alignment horizontal="center" vertical="center"/>
    </xf>
    <xf numFmtId="187" fontId="116" fillId="6" borderId="12" xfId="6" applyNumberFormat="1" applyFont="1" applyFill="1" applyBorder="1" applyAlignment="1">
      <alignment horizontal="center" vertical="center"/>
    </xf>
    <xf numFmtId="187" fontId="115" fillId="0" borderId="12" xfId="6" applyNumberFormat="1" applyFont="1" applyBorder="1" applyAlignment="1">
      <alignment horizontal="right" vertical="center"/>
    </xf>
    <xf numFmtId="0" fontId="45" fillId="0" borderId="19" xfId="6" applyFont="1" applyBorder="1" applyAlignment="1">
      <alignment horizontal="center" vertical="center"/>
    </xf>
    <xf numFmtId="0" fontId="45" fillId="0" borderId="33" xfId="6" applyFont="1" applyBorder="1"/>
    <xf numFmtId="0" fontId="5" fillId="10" borderId="13" xfId="0" applyFont="1" applyFill="1" applyBorder="1" applyAlignment="1">
      <alignment horizontal="center"/>
    </xf>
    <xf numFmtId="4" fontId="56" fillId="10" borderId="13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190" fontId="31" fillId="0" borderId="0" xfId="0" applyNumberFormat="1" applyFont="1" applyAlignment="1">
      <alignment horizontal="center"/>
    </xf>
    <xf numFmtId="0" fontId="21" fillId="2" borderId="0" xfId="0" applyFont="1" applyFill="1" applyAlignment="1">
      <alignment horizontal="left"/>
    </xf>
    <xf numFmtId="0" fontId="31" fillId="0" borderId="0" xfId="0" applyFont="1" applyAlignment="1">
      <alignment horizontal="left" vertical="center" wrapText="1"/>
    </xf>
    <xf numFmtId="4" fontId="31" fillId="0" borderId="0" xfId="0" applyNumberFormat="1" applyFont="1" applyAlignment="1">
      <alignment horizontal="right" vertical="center" wrapText="1"/>
    </xf>
    <xf numFmtId="0" fontId="31" fillId="0" borderId="0" xfId="0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43" fontId="14" fillId="0" borderId="0" xfId="4" applyFont="1"/>
    <xf numFmtId="0" fontId="13" fillId="0" borderId="0" xfId="0" applyFont="1" applyAlignment="1">
      <alignment horizontal="center"/>
    </xf>
    <xf numFmtId="49" fontId="31" fillId="0" borderId="1" xfId="0" applyNumberFormat="1" applyFont="1" applyBorder="1" applyAlignment="1">
      <alignment horizontal="center" vertical="center" wrapText="1"/>
    </xf>
    <xf numFmtId="49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43" fontId="36" fillId="6" borderId="13" xfId="4" applyFont="1" applyFill="1" applyBorder="1" applyAlignment="1">
      <alignment horizontal="center" vertical="center" wrapText="1"/>
    </xf>
    <xf numFmtId="43" fontId="39" fillId="0" borderId="13" xfId="4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" fillId="0" borderId="0" xfId="1" applyFont="1" applyAlignment="1">
      <alignment horizontal="center"/>
    </xf>
    <xf numFmtId="43" fontId="117" fillId="0" borderId="28" xfId="4" applyFont="1" applyBorder="1"/>
    <xf numFmtId="187" fontId="103" fillId="0" borderId="13" xfId="7" applyFont="1" applyFill="1" applyBorder="1" applyAlignment="1">
      <alignment horizontal="center" vertical="center"/>
    </xf>
    <xf numFmtId="10" fontId="104" fillId="0" borderId="12" xfId="8" applyNumberFormat="1" applyFont="1" applyFill="1" applyBorder="1" applyAlignment="1">
      <alignment horizontal="center" vertical="center"/>
    </xf>
    <xf numFmtId="187" fontId="105" fillId="0" borderId="13" xfId="7" applyFont="1" applyFill="1" applyBorder="1" applyAlignment="1">
      <alignment horizontal="center" vertical="center"/>
    </xf>
    <xf numFmtId="187" fontId="116" fillId="0" borderId="12" xfId="6" applyNumberFormat="1" applyFont="1" applyBorder="1" applyAlignment="1">
      <alignment horizontal="center" vertical="center"/>
    </xf>
    <xf numFmtId="9" fontId="45" fillId="0" borderId="18" xfId="5" applyFont="1" applyFill="1" applyBorder="1" applyAlignment="1">
      <alignment horizontal="center"/>
    </xf>
    <xf numFmtId="14" fontId="45" fillId="0" borderId="24" xfId="5" applyNumberFormat="1" applyFont="1" applyFill="1" applyBorder="1" applyAlignment="1">
      <alignment horizontal="center"/>
    </xf>
    <xf numFmtId="43" fontId="45" fillId="0" borderId="24" xfId="4" applyFont="1" applyFill="1" applyBorder="1" applyAlignment="1">
      <alignment horizontal="center"/>
    </xf>
    <xf numFmtId="43" fontId="106" fillId="0" borderId="13" xfId="9" applyNumberFormat="1" applyBorder="1"/>
    <xf numFmtId="0" fontId="106" fillId="0" borderId="13" xfId="9" applyBorder="1"/>
    <xf numFmtId="9" fontId="106" fillId="0" borderId="13" xfId="5" applyFont="1" applyBorder="1" applyAlignment="1">
      <alignment horizontal="center" vertical="center"/>
    </xf>
    <xf numFmtId="9" fontId="118" fillId="0" borderId="0" xfId="5" applyFont="1"/>
    <xf numFmtId="0" fontId="118" fillId="0" borderId="0" xfId="9" applyFont="1"/>
    <xf numFmtId="9" fontId="119" fillId="0" borderId="13" xfId="5" applyFont="1" applyBorder="1" applyAlignment="1">
      <alignment horizontal="center" vertical="center"/>
    </xf>
    <xf numFmtId="191" fontId="119" fillId="0" borderId="13" xfId="9" applyNumberFormat="1" applyFont="1" applyBorder="1" applyAlignment="1">
      <alignment horizontal="center" vertical="center"/>
    </xf>
    <xf numFmtId="9" fontId="118" fillId="0" borderId="13" xfId="5" applyFont="1" applyBorder="1"/>
    <xf numFmtId="43" fontId="118" fillId="0" borderId="13" xfId="9" applyNumberFormat="1" applyFont="1" applyBorder="1"/>
    <xf numFmtId="43" fontId="119" fillId="0" borderId="13" xfId="4" applyFont="1" applyBorder="1" applyAlignment="1">
      <alignment horizontal="center" vertical="center"/>
    </xf>
    <xf numFmtId="43" fontId="120" fillId="12" borderId="13" xfId="9" applyNumberFormat="1" applyFont="1" applyFill="1" applyBorder="1"/>
    <xf numFmtId="43" fontId="106" fillId="0" borderId="0" xfId="4" applyFont="1"/>
    <xf numFmtId="43" fontId="118" fillId="0" borderId="0" xfId="4" applyFont="1"/>
    <xf numFmtId="43" fontId="118" fillId="6" borderId="0" xfId="9" applyNumberFormat="1" applyFont="1" applyFill="1"/>
    <xf numFmtId="43" fontId="106" fillId="0" borderId="0" xfId="9" applyNumberFormat="1"/>
    <xf numFmtId="43" fontId="118" fillId="8" borderId="0" xfId="4" applyFont="1" applyFill="1"/>
    <xf numFmtId="0" fontId="106" fillId="6" borderId="0" xfId="9" applyFill="1"/>
    <xf numFmtId="9" fontId="121" fillId="0" borderId="0" xfId="5" applyFont="1" applyAlignment="1">
      <alignment horizontal="right"/>
    </xf>
    <xf numFmtId="10" fontId="21" fillId="0" borderId="0" xfId="5" applyNumberFormat="1" applyFont="1" applyAlignment="1">
      <alignment horizontal="right"/>
    </xf>
    <xf numFmtId="9" fontId="106" fillId="0" borderId="0" xfId="9" applyNumberFormat="1"/>
    <xf numFmtId="9" fontId="118" fillId="0" borderId="0" xfId="5" applyFont="1" applyAlignment="1">
      <alignment horizontal="right"/>
    </xf>
    <xf numFmtId="43" fontId="118" fillId="0" borderId="0" xfId="9" applyNumberFormat="1" applyFont="1"/>
    <xf numFmtId="0" fontId="106" fillId="0" borderId="0" xfId="9" applyAlignment="1">
      <alignment horizontal="right"/>
    </xf>
    <xf numFmtId="0" fontId="118" fillId="0" borderId="0" xfId="5" applyNumberFormat="1" applyFont="1" applyAlignment="1">
      <alignment horizontal="right"/>
    </xf>
    <xf numFmtId="0" fontId="118" fillId="0" borderId="0" xfId="5" applyNumberFormat="1" applyFont="1"/>
    <xf numFmtId="43" fontId="106" fillId="0" borderId="13" xfId="4" applyFont="1" applyBorder="1"/>
    <xf numFmtId="43" fontId="118" fillId="6" borderId="13" xfId="9" applyNumberFormat="1" applyFont="1" applyFill="1" applyBorder="1"/>
    <xf numFmtId="43" fontId="33" fillId="6" borderId="0" xfId="4" applyFont="1" applyFill="1"/>
    <xf numFmtId="190" fontId="0" fillId="0" borderId="0" xfId="0" applyNumberFormat="1"/>
    <xf numFmtId="0" fontId="52" fillId="0" borderId="0" xfId="0" applyFont="1" applyAlignment="1">
      <alignment horizontal="center"/>
    </xf>
    <xf numFmtId="187" fontId="46" fillId="0" borderId="20" xfId="6" applyNumberFormat="1" applyFont="1" applyBorder="1" applyAlignment="1">
      <alignment horizontal="center"/>
    </xf>
    <xf numFmtId="0" fontId="45" fillId="0" borderId="0" xfId="6" applyFont="1" applyAlignment="1">
      <alignment horizontal="center"/>
    </xf>
    <xf numFmtId="0" fontId="122" fillId="0" borderId="37" xfId="6" applyFont="1" applyBorder="1" applyAlignment="1">
      <alignment horizontal="center" vertical="center"/>
    </xf>
    <xf numFmtId="0" fontId="35" fillId="0" borderId="13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6" xfId="1" applyFont="1" applyBorder="1" applyAlignment="1">
      <alignment horizontal="center" vertical="center"/>
    </xf>
    <xf numFmtId="0" fontId="35" fillId="0" borderId="9" xfId="1" applyFont="1" applyBorder="1" applyAlignment="1">
      <alignment horizontal="center" vertical="center"/>
    </xf>
    <xf numFmtId="0" fontId="35" fillId="0" borderId="8" xfId="1" applyFont="1" applyBorder="1" applyAlignment="1">
      <alignment horizontal="center" vertical="center"/>
    </xf>
    <xf numFmtId="0" fontId="35" fillId="0" borderId="11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9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10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7" fillId="0" borderId="13" xfId="9" applyFont="1" applyBorder="1" applyAlignment="1">
      <alignment horizontal="center" vertical="center"/>
    </xf>
    <xf numFmtId="14" fontId="51" fillId="0" borderId="30" xfId="0" applyNumberFormat="1" applyFont="1" applyBorder="1" applyAlignment="1">
      <alignment horizontal="center" vertical="center" textRotation="90"/>
    </xf>
    <xf numFmtId="14" fontId="51" fillId="0" borderId="31" xfId="0" applyNumberFormat="1" applyFont="1" applyBorder="1" applyAlignment="1">
      <alignment horizontal="center" vertical="center" textRotation="90"/>
    </xf>
    <xf numFmtId="14" fontId="51" fillId="0" borderId="32" xfId="0" applyNumberFormat="1" applyFont="1" applyBorder="1" applyAlignment="1">
      <alignment horizontal="center" vertical="center" textRotation="90"/>
    </xf>
    <xf numFmtId="14" fontId="57" fillId="0" borderId="30" xfId="0" applyNumberFormat="1" applyFont="1" applyBorder="1" applyAlignment="1">
      <alignment horizontal="center" vertical="center" textRotation="90"/>
    </xf>
    <xf numFmtId="14" fontId="57" fillId="0" borderId="31" xfId="0" applyNumberFormat="1" applyFont="1" applyBorder="1" applyAlignment="1">
      <alignment horizontal="center" vertical="center" textRotation="90"/>
    </xf>
    <xf numFmtId="14" fontId="57" fillId="0" borderId="32" xfId="0" applyNumberFormat="1" applyFont="1" applyBorder="1" applyAlignment="1">
      <alignment horizontal="center" vertical="center" textRotation="90"/>
    </xf>
    <xf numFmtId="0" fontId="76" fillId="0" borderId="13" xfId="1" applyFont="1" applyBorder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76" fillId="0" borderId="6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1" xfId="1" applyFont="1" applyBorder="1" applyAlignment="1">
      <alignment horizontal="center" vertical="center"/>
    </xf>
    <xf numFmtId="0" fontId="84" fillId="0" borderId="13" xfId="1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84" fillId="0" borderId="6" xfId="1" applyFont="1" applyBorder="1" applyAlignment="1">
      <alignment horizontal="center" vertical="center"/>
    </xf>
    <xf numFmtId="0" fontId="84" fillId="0" borderId="9" xfId="1" applyFont="1" applyBorder="1" applyAlignment="1">
      <alignment horizontal="center" vertical="center"/>
    </xf>
    <xf numFmtId="0" fontId="84" fillId="0" borderId="8" xfId="1" applyFont="1" applyBorder="1" applyAlignment="1">
      <alignment horizontal="center" vertical="center"/>
    </xf>
    <xf numFmtId="0" fontId="84" fillId="0" borderId="11" xfId="1" applyFont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123" fillId="13" borderId="39" xfId="6" applyFont="1" applyFill="1" applyBorder="1" applyAlignment="1">
      <alignment horizontal="center" vertical="center"/>
    </xf>
    <xf numFmtId="0" fontId="123" fillId="13" borderId="0" xfId="6" applyFont="1" applyFill="1" applyAlignment="1">
      <alignment horizontal="center" vertical="center"/>
    </xf>
    <xf numFmtId="187" fontId="43" fillId="0" borderId="26" xfId="7" applyFont="1" applyBorder="1"/>
    <xf numFmtId="187" fontId="43" fillId="0" borderId="27" xfId="7" applyFont="1" applyBorder="1"/>
    <xf numFmtId="187" fontId="43" fillId="0" borderId="21" xfId="7" applyFont="1" applyBorder="1" applyAlignment="1">
      <alignment horizontal="center"/>
    </xf>
    <xf numFmtId="187" fontId="43" fillId="0" borderId="23" xfId="7" applyFont="1" applyBorder="1" applyAlignment="1">
      <alignment horizontal="center"/>
    </xf>
    <xf numFmtId="187" fontId="43" fillId="0" borderId="14" xfId="7" applyFont="1" applyBorder="1"/>
    <xf numFmtId="187" fontId="43" fillId="0" borderId="15" xfId="7" applyFont="1" applyBorder="1"/>
    <xf numFmtId="187" fontId="43" fillId="0" borderId="24" xfId="7" applyFont="1" applyBorder="1"/>
    <xf numFmtId="187" fontId="43" fillId="0" borderId="25" xfId="7" applyFont="1" applyBorder="1"/>
  </cellXfs>
  <cellStyles count="10">
    <cellStyle name="Comma 2" xfId="7" xr:uid="{D80B08EC-D790-4810-923D-16C4FC6DD170}"/>
    <cellStyle name="Normal 2" xfId="1" xr:uid="{6B18A862-3DE5-498A-9D72-8365575F8259}"/>
    <cellStyle name="Normal 3" xfId="3" xr:uid="{A23C00C7-1261-46E2-8BC7-5F0BB02917CB}"/>
    <cellStyle name="Normal 4" xfId="2" xr:uid="{C6365675-1D91-4691-8DD8-ADA619489C9F}"/>
    <cellStyle name="Normal 5" xfId="6" xr:uid="{63266AD3-9EFE-4981-8AF7-DDD7CC39EEF5}"/>
    <cellStyle name="Normal 6" xfId="9" xr:uid="{7F785C7A-D29D-489F-8F51-D5650D49D73E}"/>
    <cellStyle name="Percent 2" xfId="8" xr:uid="{6DC546DC-D040-4038-9A64-3D5095E1072B}"/>
    <cellStyle name="จุลภาค" xfId="4" builtinId="3"/>
    <cellStyle name="ปกติ" xfId="0" builtinId="0"/>
    <cellStyle name="เปอร์เซ็นต์" xfId="5" builtinId="5"/>
  </cellStyles>
  <dxfs count="7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1BCF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2012/2012%20RIST/Budgetary/SCADA/3EC%2000487%20for%20SCADA%202%20Sub%20REV%203.xls" TargetMode="External"/><Relationship Id="rId1" Type="http://schemas.openxmlformats.org/officeDocument/2006/relationships/externalLinkPath" Target="/2012/2012%20RIST/Budgetary/SCADA/3EC%2000487%20for%20SCADA%202%20Sub%20REV%2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iden-my.sharepoint.com/2018/PROJECT/BOM/Budgetary/CMS%20Ground%20ad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iden-my.sharepoint.com/2018/PROJECT/BOM/Ground%20work/3RE-01980%20REV%203_%20TMD-BT_EarthingSystem%20201802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 (2)"/>
      <sheetName val="QUOTATION BREAKDOWN (2)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S REV1"/>
      <sheetName val=" CMS ORG"/>
      <sheetName val="Budget"/>
      <sheetName val="for cms"/>
      <sheetName val="offer"/>
      <sheetName val="Cover"/>
    </sheetNames>
    <sheetDataSet>
      <sheetData sheetId="0">
        <row r="3">
          <cell r="L3">
            <v>11999280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1"/>
      <sheetName val="Rev2"/>
      <sheetName val="Cover"/>
      <sheetName val="offer"/>
    </sheetNames>
    <sheetDataSet>
      <sheetData sheetId="0"/>
      <sheetData sheetId="1"/>
      <sheetData sheetId="2"/>
      <sheetData sheetId="3">
        <row r="6">
          <cell r="N6">
            <v>1.05</v>
          </cell>
        </row>
        <row r="7">
          <cell r="N7">
            <v>1.08</v>
          </cell>
        </row>
      </sheetData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7BAA4-2EB3-4938-97D2-479A227D3255}">
  <dimension ref="A2:D13"/>
  <sheetViews>
    <sheetView tabSelected="1" zoomScale="130" zoomScaleNormal="130" workbookViewId="0">
      <selection activeCell="C5" sqref="C5"/>
    </sheetView>
  </sheetViews>
  <sheetFormatPr defaultRowHeight="13.8" x14ac:dyDescent="0.25"/>
  <cols>
    <col min="2" max="2" width="10.296875" customWidth="1"/>
    <col min="3" max="3" width="30.09765625" customWidth="1"/>
    <col min="4" max="4" width="12.3984375" customWidth="1"/>
  </cols>
  <sheetData>
    <row r="2" spans="1:4" x14ac:dyDescent="0.25">
      <c r="A2" s="561" t="s">
        <v>23</v>
      </c>
      <c r="B2" s="561" t="s">
        <v>24</v>
      </c>
      <c r="C2" s="563"/>
      <c r="D2" s="565" t="s">
        <v>28</v>
      </c>
    </row>
    <row r="3" spans="1:4" x14ac:dyDescent="0.25">
      <c r="A3" s="562"/>
      <c r="B3" s="562"/>
      <c r="C3" s="564"/>
      <c r="D3" s="565"/>
    </row>
    <row r="4" spans="1:4" x14ac:dyDescent="0.25">
      <c r="A4" s="73">
        <v>1</v>
      </c>
      <c r="B4" s="78">
        <v>10</v>
      </c>
      <c r="C4" s="79" t="s">
        <v>25</v>
      </c>
      <c r="D4" s="77">
        <v>10</v>
      </c>
    </row>
    <row r="5" spans="1:4" x14ac:dyDescent="0.25">
      <c r="A5" s="74">
        <v>2</v>
      </c>
      <c r="B5" s="78">
        <v>20</v>
      </c>
      <c r="C5" s="79" t="s">
        <v>26</v>
      </c>
      <c r="D5" s="80">
        <v>20</v>
      </c>
    </row>
    <row r="6" spans="1:4" x14ac:dyDescent="0.25">
      <c r="A6" s="75">
        <v>3</v>
      </c>
      <c r="B6" s="78">
        <v>30</v>
      </c>
      <c r="C6" s="79" t="s">
        <v>48</v>
      </c>
      <c r="D6" s="80">
        <v>30</v>
      </c>
    </row>
    <row r="7" spans="1:4" x14ac:dyDescent="0.25">
      <c r="A7" s="75">
        <v>4</v>
      </c>
      <c r="B7" s="78">
        <v>40</v>
      </c>
      <c r="C7" s="79" t="s">
        <v>49</v>
      </c>
      <c r="D7" s="80">
        <v>40</v>
      </c>
    </row>
    <row r="8" spans="1:4" x14ac:dyDescent="0.25">
      <c r="A8" s="75">
        <v>5</v>
      </c>
      <c r="B8" s="78">
        <v>50</v>
      </c>
      <c r="C8" s="79" t="s">
        <v>50</v>
      </c>
      <c r="D8" s="80">
        <v>50</v>
      </c>
    </row>
    <row r="9" spans="1:4" x14ac:dyDescent="0.25">
      <c r="A9" s="76">
        <v>6</v>
      </c>
      <c r="B9" s="78">
        <v>60</v>
      </c>
      <c r="C9" s="79" t="s">
        <v>51</v>
      </c>
      <c r="D9" s="80">
        <v>60</v>
      </c>
    </row>
    <row r="10" spans="1:4" x14ac:dyDescent="0.25">
      <c r="A10" s="76">
        <v>7</v>
      </c>
      <c r="B10" s="78">
        <v>70</v>
      </c>
      <c r="C10" s="79" t="s">
        <v>52</v>
      </c>
      <c r="D10" s="80">
        <v>70</v>
      </c>
    </row>
    <row r="11" spans="1:4" x14ac:dyDescent="0.25">
      <c r="A11" s="76">
        <v>8</v>
      </c>
      <c r="B11" s="78">
        <v>80</v>
      </c>
      <c r="C11" s="79" t="s">
        <v>53</v>
      </c>
      <c r="D11" s="80">
        <v>80</v>
      </c>
    </row>
    <row r="13" spans="1:4" x14ac:dyDescent="0.25">
      <c r="A13" s="566" t="s">
        <v>628</v>
      </c>
      <c r="B13" s="566"/>
      <c r="C13" s="566"/>
      <c r="D13" s="566"/>
    </row>
  </sheetData>
  <mergeCells count="4">
    <mergeCell ref="A2:A3"/>
    <mergeCell ref="B2:C3"/>
    <mergeCell ref="D2:D3"/>
    <mergeCell ref="A13:D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EA52-D292-4A16-AA3C-98C760ABD9D9}">
  <dimension ref="A1:H18"/>
  <sheetViews>
    <sheetView workbookViewId="0">
      <selection activeCell="G12" sqref="G12"/>
    </sheetView>
  </sheetViews>
  <sheetFormatPr defaultRowHeight="13.8" x14ac:dyDescent="0.25"/>
  <cols>
    <col min="1" max="1" width="8.796875" style="177"/>
    <col min="2" max="2" width="36.5" customWidth="1"/>
    <col min="3" max="3" width="15.09765625" customWidth="1"/>
    <col min="4" max="4" width="10.09765625" bestFit="1" customWidth="1"/>
    <col min="5" max="6" width="10.09765625" customWidth="1"/>
    <col min="7" max="7" width="10.09765625" bestFit="1" customWidth="1"/>
    <col min="8" max="8" width="11.09765625" bestFit="1" customWidth="1"/>
  </cols>
  <sheetData>
    <row r="1" spans="1:8" x14ac:dyDescent="0.25">
      <c r="C1" t="s">
        <v>615</v>
      </c>
    </row>
    <row r="2" spans="1:8" x14ac:dyDescent="0.25">
      <c r="A2" s="177">
        <v>1</v>
      </c>
      <c r="B2" t="s">
        <v>613</v>
      </c>
      <c r="C2" s="550">
        <v>46152</v>
      </c>
      <c r="D2" s="149">
        <v>15000</v>
      </c>
      <c r="E2" s="149">
        <v>20000</v>
      </c>
      <c r="F2" s="149"/>
      <c r="G2" s="149"/>
      <c r="H2" s="549">
        <f>SUM(D2:G2)</f>
        <v>35000</v>
      </c>
    </row>
    <row r="3" spans="1:8" x14ac:dyDescent="0.25">
      <c r="A3" s="177">
        <v>2</v>
      </c>
      <c r="B3" t="s">
        <v>614</v>
      </c>
      <c r="C3" s="550">
        <v>46157</v>
      </c>
      <c r="D3" s="149">
        <v>90164.83</v>
      </c>
      <c r="E3" s="149"/>
      <c r="F3" s="149"/>
      <c r="G3" s="149"/>
      <c r="H3" s="549">
        <f t="shared" ref="H3:H9" si="0">SUM(D3:G3)</f>
        <v>90164.83</v>
      </c>
    </row>
    <row r="4" spans="1:8" x14ac:dyDescent="0.25">
      <c r="A4" s="177">
        <v>3</v>
      </c>
      <c r="C4" s="550"/>
      <c r="D4" s="149"/>
      <c r="E4" s="149"/>
      <c r="F4" s="149"/>
      <c r="G4" s="149"/>
      <c r="H4" s="549">
        <f t="shared" si="0"/>
        <v>0</v>
      </c>
    </row>
    <row r="5" spans="1:8" x14ac:dyDescent="0.25">
      <c r="A5" s="177">
        <v>4</v>
      </c>
      <c r="C5" s="550"/>
      <c r="D5" s="149"/>
      <c r="E5" s="149"/>
      <c r="F5" s="149"/>
      <c r="G5" s="149"/>
      <c r="H5" s="549">
        <f t="shared" si="0"/>
        <v>0</v>
      </c>
    </row>
    <row r="6" spans="1:8" x14ac:dyDescent="0.25">
      <c r="A6" s="177">
        <v>5</v>
      </c>
      <c r="C6" s="550"/>
      <c r="D6" s="149"/>
      <c r="E6" s="149"/>
      <c r="F6" s="149"/>
      <c r="G6" s="149"/>
      <c r="H6" s="549">
        <f t="shared" si="0"/>
        <v>0</v>
      </c>
    </row>
    <row r="7" spans="1:8" x14ac:dyDescent="0.25">
      <c r="A7" s="177">
        <v>6</v>
      </c>
      <c r="C7" s="550"/>
      <c r="D7" s="149"/>
      <c r="E7" s="149"/>
      <c r="F7" s="149"/>
      <c r="G7" s="149"/>
      <c r="H7" s="549">
        <f t="shared" si="0"/>
        <v>0</v>
      </c>
    </row>
    <row r="8" spans="1:8" x14ac:dyDescent="0.25">
      <c r="A8" s="177">
        <v>7</v>
      </c>
      <c r="C8" s="550"/>
      <c r="D8" s="149"/>
      <c r="E8" s="149"/>
      <c r="F8" s="149"/>
      <c r="G8" s="149"/>
      <c r="H8" s="549">
        <f t="shared" si="0"/>
        <v>0</v>
      </c>
    </row>
    <row r="9" spans="1:8" x14ac:dyDescent="0.25">
      <c r="A9" s="177">
        <v>8</v>
      </c>
      <c r="B9" t="s">
        <v>616</v>
      </c>
      <c r="C9" s="550">
        <v>46192</v>
      </c>
      <c r="D9" s="149">
        <v>20000</v>
      </c>
      <c r="E9" s="149">
        <v>36000</v>
      </c>
      <c r="F9" s="149">
        <v>12795</v>
      </c>
      <c r="G9" s="149"/>
      <c r="H9" s="549">
        <f t="shared" si="0"/>
        <v>68795</v>
      </c>
    </row>
    <row r="10" spans="1:8" x14ac:dyDescent="0.25">
      <c r="C10" s="550"/>
    </row>
    <row r="11" spans="1:8" x14ac:dyDescent="0.25">
      <c r="C11" s="550"/>
      <c r="G11" s="551" t="s">
        <v>617</v>
      </c>
      <c r="H11" s="152">
        <f>SUM(H2:H10)</f>
        <v>193959.83000000002</v>
      </c>
    </row>
    <row r="12" spans="1:8" x14ac:dyDescent="0.25">
      <c r="C12" s="550"/>
      <c r="G12" t="s">
        <v>618</v>
      </c>
    </row>
    <row r="13" spans="1:8" x14ac:dyDescent="0.25">
      <c r="C13" s="550"/>
    </row>
    <row r="14" spans="1:8" x14ac:dyDescent="0.25">
      <c r="C14" s="550"/>
    </row>
    <row r="15" spans="1:8" x14ac:dyDescent="0.25">
      <c r="C15" s="550"/>
    </row>
    <row r="16" spans="1:8" x14ac:dyDescent="0.25">
      <c r="C16" s="550"/>
    </row>
    <row r="17" spans="3:3" x14ac:dyDescent="0.25">
      <c r="C17" s="550"/>
    </row>
    <row r="18" spans="3:3" x14ac:dyDescent="0.25">
      <c r="C18" s="5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84EFE-C467-4B4F-8E8A-BF6B58201261}">
  <dimension ref="A2:AO120"/>
  <sheetViews>
    <sheetView zoomScaleNormal="100" workbookViewId="0">
      <selection activeCell="L7" sqref="L7"/>
    </sheetView>
  </sheetViews>
  <sheetFormatPr defaultRowHeight="13.2" x14ac:dyDescent="0.25"/>
  <cols>
    <col min="1" max="1" width="6.5" style="413" customWidth="1"/>
    <col min="2" max="2" width="12.69921875" style="418" customWidth="1"/>
    <col min="3" max="3" width="13.796875" style="418" customWidth="1"/>
    <col min="4" max="4" width="48.59765625" style="418" bestFit="1" customWidth="1"/>
    <col min="5" max="5" width="13.796875" style="418" customWidth="1"/>
    <col min="6" max="8" width="11.19921875" style="418" customWidth="1"/>
    <col min="9" max="9" width="6.59765625" style="420" customWidth="1"/>
    <col min="10" max="10" width="11" style="418" customWidth="1"/>
    <col min="11" max="11" width="6.59765625" style="420" customWidth="1"/>
    <col min="12" max="12" width="11" style="418" customWidth="1"/>
    <col min="13" max="13" width="7.59765625" style="418" customWidth="1"/>
    <col min="14" max="14" width="5.69921875" style="525" customWidth="1"/>
    <col min="15" max="15" width="11" style="526" customWidth="1"/>
    <col min="16" max="16" width="5.5" style="525" customWidth="1"/>
    <col min="17" max="17" width="11" style="526" customWidth="1"/>
    <col min="18" max="18" width="3.69921875" style="525" customWidth="1"/>
    <col min="19" max="19" width="11" style="526" customWidth="1"/>
    <col min="20" max="20" width="3.69921875" style="525" customWidth="1"/>
    <col min="21" max="21" width="11" style="526" customWidth="1"/>
    <col min="22" max="22" width="3.69921875" style="525" customWidth="1"/>
    <col min="23" max="23" width="11" style="526" customWidth="1"/>
    <col min="24" max="24" width="3.69921875" style="525" customWidth="1"/>
    <col min="25" max="25" width="11" style="526" customWidth="1"/>
    <col min="26" max="26" width="3.69921875" style="525" customWidth="1"/>
    <col min="27" max="27" width="11" style="526" customWidth="1"/>
    <col min="28" max="28" width="3.69921875" style="525" customWidth="1"/>
    <col min="29" max="29" width="11" style="526" customWidth="1"/>
    <col min="30" max="30" width="3.69921875" style="525" customWidth="1"/>
    <col min="31" max="31" width="11" style="526" customWidth="1"/>
    <col min="32" max="32" width="3.69921875" style="525" customWidth="1"/>
    <col min="33" max="33" width="11" style="526" customWidth="1"/>
    <col min="34" max="34" width="3.69921875" style="525" customWidth="1"/>
    <col min="35" max="35" width="11" style="526" customWidth="1"/>
    <col min="36" max="36" width="3.69921875" style="525" customWidth="1"/>
    <col min="37" max="37" width="11" style="526" customWidth="1"/>
    <col min="38" max="38" width="3.69921875" style="525" customWidth="1"/>
    <col min="39" max="39" width="11" style="526" customWidth="1"/>
    <col min="40" max="40" width="3.69921875" style="525" customWidth="1"/>
    <col min="41" max="41" width="11" style="526" customWidth="1"/>
    <col min="42" max="16384" width="8.796875" style="418"/>
  </cols>
  <sheetData>
    <row r="2" spans="1:41" s="413" customFormat="1" ht="22.8" customHeight="1" x14ac:dyDescent="0.25">
      <c r="A2" s="412" t="s">
        <v>317</v>
      </c>
      <c r="B2" s="412" t="s">
        <v>318</v>
      </c>
      <c r="C2" s="412" t="s">
        <v>319</v>
      </c>
      <c r="D2" s="412" t="s">
        <v>320</v>
      </c>
      <c r="E2" s="412" t="s">
        <v>7</v>
      </c>
      <c r="F2" s="412" t="s">
        <v>1</v>
      </c>
      <c r="G2" s="412" t="s">
        <v>321</v>
      </c>
      <c r="H2" s="412" t="s">
        <v>553</v>
      </c>
      <c r="I2" s="567" t="s">
        <v>190</v>
      </c>
      <c r="J2" s="567"/>
      <c r="K2" s="567" t="s">
        <v>322</v>
      </c>
      <c r="L2" s="567"/>
      <c r="N2" s="527" t="s">
        <v>552</v>
      </c>
      <c r="O2" s="528">
        <v>46082</v>
      </c>
      <c r="P2" s="527" t="s">
        <v>552</v>
      </c>
      <c r="Q2" s="528">
        <v>46113</v>
      </c>
      <c r="R2" s="527" t="s">
        <v>552</v>
      </c>
      <c r="S2" s="528">
        <v>46143</v>
      </c>
      <c r="T2" s="527" t="s">
        <v>552</v>
      </c>
      <c r="U2" s="528">
        <v>46174</v>
      </c>
      <c r="V2" s="527" t="s">
        <v>552</v>
      </c>
      <c r="W2" s="528">
        <v>46204</v>
      </c>
      <c r="X2" s="527" t="s">
        <v>552</v>
      </c>
      <c r="Y2" s="528">
        <v>46235</v>
      </c>
      <c r="Z2" s="527" t="s">
        <v>552</v>
      </c>
      <c r="AA2" s="528">
        <v>46266</v>
      </c>
      <c r="AB2" s="527" t="s">
        <v>552</v>
      </c>
      <c r="AC2" s="528">
        <v>46296</v>
      </c>
      <c r="AD2" s="527" t="s">
        <v>552</v>
      </c>
      <c r="AE2" s="528">
        <v>46327</v>
      </c>
      <c r="AF2" s="527" t="s">
        <v>552</v>
      </c>
      <c r="AG2" s="528">
        <v>46357</v>
      </c>
      <c r="AH2" s="527" t="s">
        <v>552</v>
      </c>
      <c r="AI2" s="528">
        <v>46388</v>
      </c>
      <c r="AJ2" s="527" t="s">
        <v>552</v>
      </c>
      <c r="AK2" s="528">
        <v>46419</v>
      </c>
      <c r="AL2" s="527" t="s">
        <v>552</v>
      </c>
      <c r="AM2" s="528">
        <v>46447</v>
      </c>
      <c r="AN2" s="527" t="s">
        <v>552</v>
      </c>
      <c r="AO2" s="528">
        <v>46478</v>
      </c>
    </row>
    <row r="3" spans="1:41" s="413" customFormat="1" ht="22.8" customHeight="1" x14ac:dyDescent="0.25">
      <c r="A3" s="412"/>
      <c r="B3" s="412"/>
      <c r="C3" s="412"/>
      <c r="D3" s="412"/>
      <c r="E3" s="412"/>
      <c r="F3" s="412"/>
      <c r="G3" s="412"/>
      <c r="H3" s="412"/>
      <c r="I3" s="412"/>
      <c r="J3" s="412"/>
      <c r="K3" s="412"/>
      <c r="L3" s="412"/>
      <c r="N3" s="527"/>
      <c r="O3" s="531">
        <f>SUM(O4:O19)</f>
        <v>740100.93</v>
      </c>
      <c r="P3" s="527"/>
      <c r="Q3" s="531">
        <f>SUM(Q4:Q19)</f>
        <v>873629.6</v>
      </c>
      <c r="R3" s="527"/>
      <c r="S3" s="531">
        <f>SUM(S4:S19)</f>
        <v>593927.47</v>
      </c>
      <c r="T3" s="527"/>
      <c r="U3" s="531">
        <f>SUM(U4:U19)</f>
        <v>85000</v>
      </c>
      <c r="V3" s="527"/>
      <c r="W3" s="531">
        <f>SUM(W4:W19)</f>
        <v>85000</v>
      </c>
      <c r="X3" s="527"/>
      <c r="Y3" s="531">
        <f>SUM(Y4:Y19)</f>
        <v>0</v>
      </c>
      <c r="Z3" s="527"/>
      <c r="AA3" s="531">
        <f>SUM(AA4:AA19)</f>
        <v>0</v>
      </c>
      <c r="AB3" s="527"/>
      <c r="AC3" s="531">
        <f>SUM(AC4:AC19)</f>
        <v>0</v>
      </c>
      <c r="AD3" s="527"/>
      <c r="AE3" s="531">
        <f>SUM(AE4:AE19)</f>
        <v>0</v>
      </c>
      <c r="AF3" s="527"/>
      <c r="AG3" s="531">
        <f>SUM(AG4:AG19)</f>
        <v>0</v>
      </c>
      <c r="AH3" s="527"/>
      <c r="AI3" s="531">
        <f>SUM(AI4:AI19)</f>
        <v>0</v>
      </c>
      <c r="AJ3" s="527"/>
      <c r="AK3" s="531">
        <f>SUM(AK4:AK19)</f>
        <v>0</v>
      </c>
      <c r="AL3" s="527"/>
      <c r="AM3" s="531">
        <f>SUM(AM4:AM19)</f>
        <v>0</v>
      </c>
      <c r="AN3" s="527"/>
      <c r="AO3" s="531">
        <f>SUM(AO4:AO19)</f>
        <v>0</v>
      </c>
    </row>
    <row r="4" spans="1:41" ht="13.8" x14ac:dyDescent="0.25">
      <c r="A4" s="414">
        <v>1</v>
      </c>
      <c r="B4" s="415"/>
      <c r="C4" s="415" t="s">
        <v>548</v>
      </c>
      <c r="D4" s="415" t="s">
        <v>554</v>
      </c>
      <c r="E4" s="416">
        <v>610770</v>
      </c>
      <c r="F4" s="417">
        <v>46082</v>
      </c>
      <c r="G4" s="417">
        <v>46122</v>
      </c>
      <c r="H4" s="524">
        <v>0.8</v>
      </c>
      <c r="I4" s="428">
        <v>0.9</v>
      </c>
      <c r="J4" s="522" t="e">
        <f t="shared" ref="J4:J12" si="0">I4*C4</f>
        <v>#VALUE!</v>
      </c>
      <c r="K4" s="428">
        <v>0.9</v>
      </c>
      <c r="L4" s="522">
        <f t="shared" ref="L4:L10" si="1">K4*E4</f>
        <v>549693</v>
      </c>
      <c r="M4" s="541"/>
      <c r="N4" s="529">
        <v>0.5</v>
      </c>
      <c r="O4" s="548">
        <f>N4*E4</f>
        <v>305385</v>
      </c>
      <c r="P4" s="529">
        <v>0.4</v>
      </c>
      <c r="Q4" s="548">
        <f>P4*$E$4</f>
        <v>244308</v>
      </c>
      <c r="R4" s="529">
        <v>0.1</v>
      </c>
      <c r="S4" s="530">
        <f>R4*$E$4</f>
        <v>61077</v>
      </c>
      <c r="T4" s="529"/>
      <c r="U4" s="530">
        <f>T4*$E$4</f>
        <v>0</v>
      </c>
      <c r="V4" s="529"/>
      <c r="W4" s="530">
        <f>V4*$E$4</f>
        <v>0</v>
      </c>
      <c r="X4" s="529"/>
      <c r="Y4" s="530">
        <f>X4*$E$4</f>
        <v>0</v>
      </c>
      <c r="Z4" s="529"/>
      <c r="AA4" s="530">
        <f>Z4*$E$4</f>
        <v>0</v>
      </c>
      <c r="AB4" s="529"/>
      <c r="AC4" s="530">
        <f>AB4*$E$4</f>
        <v>0</v>
      </c>
      <c r="AD4" s="529"/>
      <c r="AE4" s="530">
        <f>AD4*$E$4</f>
        <v>0</v>
      </c>
      <c r="AF4" s="529"/>
      <c r="AG4" s="530">
        <f>AF4*$E$4</f>
        <v>0</v>
      </c>
      <c r="AH4" s="529"/>
      <c r="AI4" s="530">
        <f>AH4*$E$4</f>
        <v>0</v>
      </c>
      <c r="AJ4" s="529"/>
      <c r="AK4" s="530">
        <f>AJ4*$E$4</f>
        <v>0</v>
      </c>
      <c r="AL4" s="529"/>
      <c r="AM4" s="530">
        <f>AL4*$E$4</f>
        <v>0</v>
      </c>
      <c r="AN4" s="529"/>
      <c r="AO4" s="530">
        <f>AN4*$E$4</f>
        <v>0</v>
      </c>
    </row>
    <row r="5" spans="1:41" ht="13.8" x14ac:dyDescent="0.25">
      <c r="A5" s="414">
        <v>2</v>
      </c>
      <c r="B5" s="415"/>
      <c r="C5" s="415" t="s">
        <v>547</v>
      </c>
      <c r="D5" s="415" t="s">
        <v>550</v>
      </c>
      <c r="E5" s="416">
        <v>850000</v>
      </c>
      <c r="F5" s="417">
        <v>46101</v>
      </c>
      <c r="G5" s="417">
        <v>46172</v>
      </c>
      <c r="H5" s="524">
        <v>0.1</v>
      </c>
      <c r="I5" s="428">
        <v>0.3</v>
      </c>
      <c r="J5" s="522" t="e">
        <f t="shared" si="0"/>
        <v>#VALUE!</v>
      </c>
      <c r="K5" s="428">
        <v>0.3</v>
      </c>
      <c r="L5" s="522">
        <f t="shared" si="1"/>
        <v>255000</v>
      </c>
      <c r="M5" s="541"/>
      <c r="N5" s="529"/>
      <c r="O5" s="530">
        <f>N5*$E$5</f>
        <v>0</v>
      </c>
      <c r="P5" s="529">
        <v>0.3</v>
      </c>
      <c r="Q5" s="532">
        <f>P5*$E$5</f>
        <v>255000</v>
      </c>
      <c r="R5" s="529">
        <v>0.5</v>
      </c>
      <c r="S5" s="530">
        <f>R5*$E$5</f>
        <v>425000</v>
      </c>
      <c r="T5" s="529">
        <v>0.1</v>
      </c>
      <c r="U5" s="530">
        <f>T5*$E$5</f>
        <v>85000</v>
      </c>
      <c r="V5" s="529">
        <v>0.1</v>
      </c>
      <c r="W5" s="530">
        <f>V5*$E$5</f>
        <v>85000</v>
      </c>
      <c r="X5" s="529"/>
      <c r="Y5" s="530">
        <f>X5*$E$5</f>
        <v>0</v>
      </c>
      <c r="Z5" s="529"/>
      <c r="AA5" s="530">
        <f>Z5*$E$5</f>
        <v>0</v>
      </c>
      <c r="AB5" s="529"/>
      <c r="AC5" s="530">
        <f>AB5*$E$5</f>
        <v>0</v>
      </c>
      <c r="AD5" s="529"/>
      <c r="AE5" s="530">
        <f>AD5*$E$5</f>
        <v>0</v>
      </c>
      <c r="AF5" s="529"/>
      <c r="AG5" s="530">
        <f>AF5*$E$5</f>
        <v>0</v>
      </c>
      <c r="AH5" s="529"/>
      <c r="AI5" s="530">
        <f>AH5*$E$5</f>
        <v>0</v>
      </c>
      <c r="AJ5" s="529"/>
      <c r="AK5" s="530">
        <f>AJ5*$E$5</f>
        <v>0</v>
      </c>
      <c r="AL5" s="529"/>
      <c r="AM5" s="530">
        <f>AL5*$E$5</f>
        <v>0</v>
      </c>
      <c r="AN5" s="529"/>
      <c r="AO5" s="530">
        <f>AN5*$E$5</f>
        <v>0</v>
      </c>
    </row>
    <row r="6" spans="1:41" ht="13.8" x14ac:dyDescent="0.25">
      <c r="A6" s="414">
        <v>3</v>
      </c>
      <c r="B6" s="415"/>
      <c r="C6" s="415" t="s">
        <v>549</v>
      </c>
      <c r="D6" s="415" t="s">
        <v>551</v>
      </c>
      <c r="E6" s="416">
        <v>400000</v>
      </c>
      <c r="F6" s="417">
        <v>46118</v>
      </c>
      <c r="G6" s="417">
        <v>46118</v>
      </c>
      <c r="H6" s="524">
        <v>1</v>
      </c>
      <c r="I6" s="428">
        <v>1</v>
      </c>
      <c r="J6" s="522" t="e">
        <f t="shared" si="0"/>
        <v>#VALUE!</v>
      </c>
      <c r="K6" s="428">
        <v>1</v>
      </c>
      <c r="L6" s="522">
        <f t="shared" si="1"/>
        <v>400000</v>
      </c>
      <c r="M6" s="541"/>
      <c r="N6" s="529">
        <v>0.5</v>
      </c>
      <c r="O6" s="532">
        <f>N6*$E$6</f>
        <v>200000</v>
      </c>
      <c r="P6" s="529">
        <v>0.5</v>
      </c>
      <c r="Q6" s="532">
        <f>P6*$E$6</f>
        <v>200000</v>
      </c>
      <c r="R6" s="529"/>
      <c r="S6" s="530">
        <f>R6*$E$6</f>
        <v>0</v>
      </c>
      <c r="T6" s="529"/>
      <c r="U6" s="530">
        <f>T6*$E$6</f>
        <v>0</v>
      </c>
      <c r="V6" s="529"/>
      <c r="W6" s="530">
        <f>V6*$E$6</f>
        <v>0</v>
      </c>
      <c r="X6" s="529"/>
      <c r="Y6" s="530">
        <f>X6*$E$6</f>
        <v>0</v>
      </c>
      <c r="Z6" s="529"/>
      <c r="AA6" s="530">
        <f>Z6*$E$6</f>
        <v>0</v>
      </c>
      <c r="AB6" s="529"/>
      <c r="AC6" s="530">
        <f>AB6*$E$6</f>
        <v>0</v>
      </c>
      <c r="AD6" s="529"/>
      <c r="AE6" s="530">
        <f>AD6*$E$6</f>
        <v>0</v>
      </c>
      <c r="AF6" s="529"/>
      <c r="AG6" s="530">
        <f>AF6*$E$6</f>
        <v>0</v>
      </c>
      <c r="AH6" s="529"/>
      <c r="AI6" s="530">
        <f>AH6*$E$6</f>
        <v>0</v>
      </c>
      <c r="AJ6" s="529"/>
      <c r="AK6" s="530">
        <f>AJ6*$E$6</f>
        <v>0</v>
      </c>
      <c r="AL6" s="529"/>
      <c r="AM6" s="530">
        <f>AL6*$E$6</f>
        <v>0</v>
      </c>
      <c r="AN6" s="529"/>
      <c r="AO6" s="530">
        <f>AN6*$E$6</f>
        <v>0</v>
      </c>
    </row>
    <row r="7" spans="1:41" ht="13.8" x14ac:dyDescent="0.25">
      <c r="A7" s="414">
        <v>4</v>
      </c>
      <c r="B7" s="415"/>
      <c r="C7" s="415" t="s">
        <v>555</v>
      </c>
      <c r="D7" s="415" t="s">
        <v>556</v>
      </c>
      <c r="E7" s="416">
        <v>220000</v>
      </c>
      <c r="F7" s="417">
        <v>46108</v>
      </c>
      <c r="G7" s="417">
        <v>46132</v>
      </c>
      <c r="H7" s="524">
        <v>0</v>
      </c>
      <c r="I7" s="428">
        <v>1</v>
      </c>
      <c r="J7" s="522" t="e">
        <f t="shared" si="0"/>
        <v>#VALUE!</v>
      </c>
      <c r="K7" s="428">
        <v>1</v>
      </c>
      <c r="L7" s="522">
        <f t="shared" si="1"/>
        <v>220000</v>
      </c>
      <c r="M7" s="541"/>
      <c r="N7" s="529">
        <v>0.5</v>
      </c>
      <c r="O7" s="532">
        <v>112149.53</v>
      </c>
      <c r="P7" s="529"/>
      <c r="Q7" s="548"/>
      <c r="R7" s="529">
        <v>0.5</v>
      </c>
      <c r="S7" s="548">
        <f>E7-O7</f>
        <v>107850.47</v>
      </c>
      <c r="T7" s="529"/>
      <c r="U7" s="530">
        <f>T7*$E$7</f>
        <v>0</v>
      </c>
      <c r="V7" s="529"/>
      <c r="W7" s="530">
        <f>V7*$E$7</f>
        <v>0</v>
      </c>
      <c r="X7" s="529"/>
      <c r="Y7" s="530">
        <f>X7*$E$7</f>
        <v>0</v>
      </c>
      <c r="Z7" s="529"/>
      <c r="AA7" s="530">
        <f>Z7*$E$7</f>
        <v>0</v>
      </c>
      <c r="AB7" s="529"/>
      <c r="AC7" s="530">
        <f>AB7*$E$7</f>
        <v>0</v>
      </c>
      <c r="AD7" s="529"/>
      <c r="AE7" s="530">
        <f>AD7*$E$7</f>
        <v>0</v>
      </c>
      <c r="AF7" s="529"/>
      <c r="AG7" s="530">
        <f>AF7*$E$7</f>
        <v>0</v>
      </c>
      <c r="AH7" s="529"/>
      <c r="AI7" s="530">
        <f>AH7*$E$7</f>
        <v>0</v>
      </c>
      <c r="AJ7" s="529"/>
      <c r="AK7" s="530">
        <f>AJ7*$E$7</f>
        <v>0</v>
      </c>
      <c r="AL7" s="529"/>
      <c r="AM7" s="530">
        <f>AL7*$E$7</f>
        <v>0</v>
      </c>
      <c r="AN7" s="529"/>
      <c r="AO7" s="530">
        <f>AN7*$E$7</f>
        <v>0</v>
      </c>
    </row>
    <row r="8" spans="1:41" ht="13.8" x14ac:dyDescent="0.25">
      <c r="A8" s="414">
        <v>5</v>
      </c>
      <c r="B8" s="415"/>
      <c r="C8" s="415" t="s">
        <v>598</v>
      </c>
      <c r="D8" s="415" t="s">
        <v>599</v>
      </c>
      <c r="E8" s="416">
        <v>235000</v>
      </c>
      <c r="F8" s="417">
        <v>46108</v>
      </c>
      <c r="G8" s="417">
        <v>46132</v>
      </c>
      <c r="H8" s="524">
        <v>1</v>
      </c>
      <c r="I8" s="428">
        <v>1</v>
      </c>
      <c r="J8" s="522" t="e">
        <f t="shared" si="0"/>
        <v>#VALUE!</v>
      </c>
      <c r="K8" s="428">
        <v>1</v>
      </c>
      <c r="L8" s="522">
        <f t="shared" si="1"/>
        <v>235000</v>
      </c>
      <c r="M8" s="541"/>
      <c r="N8" s="529">
        <v>0.5</v>
      </c>
      <c r="O8" s="532">
        <f>N8*$E$7</f>
        <v>110000</v>
      </c>
      <c r="P8" s="529">
        <v>0.5</v>
      </c>
      <c r="Q8" s="532">
        <v>125000</v>
      </c>
      <c r="R8" s="529"/>
      <c r="S8" s="530">
        <f>R8*$E$7</f>
        <v>0</v>
      </c>
      <c r="T8" s="529"/>
      <c r="U8" s="530">
        <f>T8*$E$7</f>
        <v>0</v>
      </c>
      <c r="V8" s="529"/>
      <c r="W8" s="530">
        <f>V8*$E$7</f>
        <v>0</v>
      </c>
      <c r="X8" s="529"/>
      <c r="Y8" s="530">
        <f>X8*$E$7</f>
        <v>0</v>
      </c>
      <c r="Z8" s="529"/>
      <c r="AA8" s="530">
        <f>Z8*$E$7</f>
        <v>0</v>
      </c>
      <c r="AB8" s="529"/>
      <c r="AC8" s="530">
        <f>AB8*$E$7</f>
        <v>0</v>
      </c>
      <c r="AD8" s="529"/>
      <c r="AE8" s="530">
        <f>AD8*$E$7</f>
        <v>0</v>
      </c>
      <c r="AF8" s="529"/>
      <c r="AG8" s="530">
        <f>AF8*$E$7</f>
        <v>0</v>
      </c>
      <c r="AH8" s="529"/>
      <c r="AI8" s="530">
        <f>AH8*$E$7</f>
        <v>0</v>
      </c>
      <c r="AJ8" s="529"/>
      <c r="AK8" s="530">
        <f>AJ8*$E$7</f>
        <v>0</v>
      </c>
      <c r="AL8" s="529"/>
      <c r="AM8" s="530">
        <f>AL8*$E$7</f>
        <v>0</v>
      </c>
      <c r="AN8" s="529"/>
      <c r="AO8" s="530">
        <f>AN8*$E$7</f>
        <v>0</v>
      </c>
    </row>
    <row r="9" spans="1:41" ht="13.8" x14ac:dyDescent="0.25">
      <c r="A9" s="414">
        <v>6</v>
      </c>
      <c r="B9" s="415"/>
      <c r="C9" s="415" t="s">
        <v>604</v>
      </c>
      <c r="D9" s="415" t="s">
        <v>605</v>
      </c>
      <c r="E9" s="416">
        <v>41888</v>
      </c>
      <c r="F9" s="417">
        <v>46108</v>
      </c>
      <c r="G9" s="417">
        <v>46108</v>
      </c>
      <c r="H9" s="524">
        <v>1</v>
      </c>
      <c r="I9" s="428">
        <v>1</v>
      </c>
      <c r="J9" s="547" t="e">
        <f t="shared" si="0"/>
        <v>#VALUE!</v>
      </c>
      <c r="K9" s="428">
        <v>1</v>
      </c>
      <c r="L9" s="547">
        <f t="shared" si="1"/>
        <v>41888</v>
      </c>
      <c r="M9" s="541"/>
      <c r="N9" s="529">
        <v>0.3</v>
      </c>
      <c r="O9" s="548">
        <f>N9*$E$9</f>
        <v>12566.4</v>
      </c>
      <c r="P9" s="529">
        <v>0.7</v>
      </c>
      <c r="Q9" s="548">
        <f>E9-O9</f>
        <v>29321.599999999999</v>
      </c>
      <c r="R9" s="529"/>
      <c r="S9" s="530">
        <f>R9*$E$9</f>
        <v>0</v>
      </c>
      <c r="T9" s="529"/>
      <c r="U9" s="530">
        <f>T9*$E$9</f>
        <v>0</v>
      </c>
      <c r="V9" s="529"/>
      <c r="W9" s="530">
        <f>V9*$E$9</f>
        <v>0</v>
      </c>
      <c r="X9" s="529"/>
      <c r="Y9" s="530">
        <f>X9*$E$9</f>
        <v>0</v>
      </c>
      <c r="Z9" s="529"/>
      <c r="AA9" s="530">
        <f>Z9*$E$9</f>
        <v>0</v>
      </c>
      <c r="AB9" s="529"/>
      <c r="AC9" s="530">
        <f>AB9*$E$9</f>
        <v>0</v>
      </c>
      <c r="AD9" s="529"/>
      <c r="AE9" s="530">
        <f>AD9*$E$9</f>
        <v>0</v>
      </c>
      <c r="AF9" s="529"/>
      <c r="AG9" s="530">
        <f>AF9*$E$9</f>
        <v>0</v>
      </c>
      <c r="AH9" s="529"/>
      <c r="AI9" s="530">
        <f>AH9*$E$9</f>
        <v>0</v>
      </c>
      <c r="AJ9" s="529"/>
      <c r="AK9" s="530">
        <f>AJ9*$E$9</f>
        <v>0</v>
      </c>
      <c r="AL9" s="529"/>
      <c r="AM9" s="530">
        <f>AL9*$E$9</f>
        <v>0</v>
      </c>
      <c r="AN9" s="529"/>
      <c r="AO9" s="530">
        <f>AN9*$E$9</f>
        <v>0</v>
      </c>
    </row>
    <row r="10" spans="1:41" ht="13.8" x14ac:dyDescent="0.25">
      <c r="A10" s="414">
        <v>7</v>
      </c>
      <c r="B10" s="415"/>
      <c r="C10" s="415" t="s">
        <v>548</v>
      </c>
      <c r="D10" s="415" t="s">
        <v>611</v>
      </c>
      <c r="E10" s="416">
        <v>339693.72</v>
      </c>
      <c r="F10" s="417">
        <v>46082</v>
      </c>
      <c r="G10" s="417">
        <v>46122</v>
      </c>
      <c r="H10" s="524">
        <v>0.5</v>
      </c>
      <c r="I10" s="428">
        <v>0.2</v>
      </c>
      <c r="J10" s="522" t="e">
        <f t="shared" si="0"/>
        <v>#VALUE!</v>
      </c>
      <c r="K10" s="428">
        <v>0.2</v>
      </c>
      <c r="L10" s="522">
        <f t="shared" si="1"/>
        <v>67938.743999999992</v>
      </c>
      <c r="M10" s="541"/>
      <c r="N10" s="529"/>
      <c r="O10" s="530">
        <f>N10*$E$11</f>
        <v>0</v>
      </c>
      <c r="P10" s="529">
        <v>0.2</v>
      </c>
      <c r="Q10" s="530">
        <f>P10*$E$11</f>
        <v>20000</v>
      </c>
      <c r="R10" s="529">
        <v>0</v>
      </c>
      <c r="S10" s="530">
        <f>R10*$E$11</f>
        <v>0</v>
      </c>
      <c r="T10" s="529"/>
      <c r="U10" s="530">
        <f>T10*$E$11</f>
        <v>0</v>
      </c>
      <c r="V10" s="529"/>
      <c r="W10" s="530">
        <f>V10*$E$11</f>
        <v>0</v>
      </c>
      <c r="X10" s="529"/>
      <c r="Y10" s="530">
        <f>X10*$E$11</f>
        <v>0</v>
      </c>
      <c r="Z10" s="529"/>
      <c r="AA10" s="530">
        <f>Z10*$E$11</f>
        <v>0</v>
      </c>
      <c r="AB10" s="529"/>
      <c r="AC10" s="530">
        <f>AB10*$E$11</f>
        <v>0</v>
      </c>
      <c r="AD10" s="529"/>
      <c r="AE10" s="530">
        <f>AD10*$E$11</f>
        <v>0</v>
      </c>
      <c r="AF10" s="529"/>
      <c r="AG10" s="530">
        <f>AF10*$E$11</f>
        <v>0</v>
      </c>
      <c r="AH10" s="529"/>
      <c r="AI10" s="530">
        <f>AH10*$E$11</f>
        <v>0</v>
      </c>
      <c r="AJ10" s="529"/>
      <c r="AK10" s="530">
        <f>AJ10*$E$11</f>
        <v>0</v>
      </c>
      <c r="AL10" s="529"/>
      <c r="AM10" s="530">
        <f>AL10*$E$11</f>
        <v>0</v>
      </c>
      <c r="AN10" s="529"/>
      <c r="AO10" s="530">
        <f>AN10*$E$11</f>
        <v>0</v>
      </c>
    </row>
    <row r="11" spans="1:41" ht="13.8" x14ac:dyDescent="0.25">
      <c r="A11" s="414">
        <v>8</v>
      </c>
      <c r="B11" s="415"/>
      <c r="C11" s="415" t="s">
        <v>548</v>
      </c>
      <c r="D11" s="415" t="s">
        <v>612</v>
      </c>
      <c r="E11" s="416">
        <v>100000</v>
      </c>
      <c r="F11" s="417">
        <v>46082</v>
      </c>
      <c r="G11" s="417">
        <v>46122</v>
      </c>
      <c r="H11" s="524">
        <v>0</v>
      </c>
      <c r="I11" s="428">
        <v>0</v>
      </c>
      <c r="J11" s="522" t="e">
        <f t="shared" si="0"/>
        <v>#VALUE!</v>
      </c>
      <c r="K11" s="428">
        <v>0</v>
      </c>
      <c r="L11" s="522">
        <f t="shared" ref="L11" si="2">K11*E11</f>
        <v>0</v>
      </c>
      <c r="M11" s="541"/>
      <c r="N11" s="529"/>
      <c r="O11" s="530">
        <f>N11*$E$11</f>
        <v>0</v>
      </c>
      <c r="P11" s="529"/>
      <c r="Q11" s="530">
        <f>P11*$E$11</f>
        <v>0</v>
      </c>
      <c r="R11" s="529">
        <v>0</v>
      </c>
      <c r="S11" s="530">
        <f>R11*$E$11</f>
        <v>0</v>
      </c>
      <c r="T11" s="529"/>
      <c r="U11" s="530">
        <f>T11*$E$11</f>
        <v>0</v>
      </c>
      <c r="V11" s="529"/>
      <c r="W11" s="530">
        <f>V11*$E$11</f>
        <v>0</v>
      </c>
      <c r="X11" s="529"/>
      <c r="Y11" s="530">
        <f>X11*$E$11</f>
        <v>0</v>
      </c>
      <c r="Z11" s="529"/>
      <c r="AA11" s="530">
        <f>Z11*$E$11</f>
        <v>0</v>
      </c>
      <c r="AB11" s="529"/>
      <c r="AC11" s="530">
        <f>AB11*$E$11</f>
        <v>0</v>
      </c>
      <c r="AD11" s="529"/>
      <c r="AE11" s="530">
        <f>AD11*$E$11</f>
        <v>0</v>
      </c>
      <c r="AF11" s="529"/>
      <c r="AG11" s="530">
        <f>AF11*$E$11</f>
        <v>0</v>
      </c>
      <c r="AH11" s="529"/>
      <c r="AI11" s="530">
        <f>AH11*$E$11</f>
        <v>0</v>
      </c>
      <c r="AJ11" s="529"/>
      <c r="AK11" s="530">
        <f>AJ11*$E$11</f>
        <v>0</v>
      </c>
      <c r="AL11" s="529"/>
      <c r="AM11" s="530">
        <f>AL11*$E$11</f>
        <v>0</v>
      </c>
      <c r="AN11" s="529"/>
      <c r="AO11" s="530">
        <f>AN11*$E$11</f>
        <v>0</v>
      </c>
    </row>
    <row r="12" spans="1:41" ht="13.8" x14ac:dyDescent="0.25">
      <c r="A12" s="414">
        <v>9</v>
      </c>
      <c r="B12" s="415"/>
      <c r="C12" s="415" t="s">
        <v>609</v>
      </c>
      <c r="D12" s="415" t="s">
        <v>610</v>
      </c>
      <c r="E12" s="416">
        <v>874000</v>
      </c>
      <c r="F12" s="417">
        <v>46148</v>
      </c>
      <c r="G12" s="417">
        <v>46203</v>
      </c>
      <c r="H12" s="524">
        <v>0</v>
      </c>
      <c r="I12" s="428"/>
      <c r="J12" s="547" t="e">
        <f t="shared" si="0"/>
        <v>#VALUE!</v>
      </c>
      <c r="K12" s="428"/>
      <c r="L12" s="547">
        <f t="shared" ref="L12" si="3">K12*E12</f>
        <v>0</v>
      </c>
      <c r="M12" s="541"/>
      <c r="N12" s="529"/>
      <c r="O12" s="530">
        <f t="shared" ref="O12:O17" si="4">N12*$E$12</f>
        <v>0</v>
      </c>
      <c r="P12" s="529"/>
      <c r="Q12" s="530">
        <f t="shared" ref="Q12:Q17" si="5">P12*$E$12</f>
        <v>0</v>
      </c>
      <c r="R12" s="529"/>
      <c r="S12" s="530">
        <f>R12*$E$12</f>
        <v>0</v>
      </c>
      <c r="T12" s="529"/>
      <c r="U12" s="530">
        <f>T12*$E$12</f>
        <v>0</v>
      </c>
      <c r="V12" s="529"/>
      <c r="W12" s="530">
        <f>V12*$E$12</f>
        <v>0</v>
      </c>
      <c r="X12" s="529"/>
      <c r="Y12" s="530">
        <f>X12*$E$12</f>
        <v>0</v>
      </c>
      <c r="Z12" s="529"/>
      <c r="AA12" s="530">
        <f>Z12*$E$12</f>
        <v>0</v>
      </c>
      <c r="AB12" s="529"/>
      <c r="AC12" s="530">
        <f>AB12*$E$12</f>
        <v>0</v>
      </c>
      <c r="AD12" s="529"/>
      <c r="AE12" s="530">
        <f>AD12*$E$12</f>
        <v>0</v>
      </c>
      <c r="AF12" s="529"/>
      <c r="AG12" s="530">
        <f>AF12*$E$12</f>
        <v>0</v>
      </c>
      <c r="AH12" s="529"/>
      <c r="AI12" s="530">
        <f>AH12*$E$12</f>
        <v>0</v>
      </c>
      <c r="AJ12" s="529"/>
      <c r="AK12" s="530">
        <f>AJ12*$E$12</f>
        <v>0</v>
      </c>
      <c r="AL12" s="529"/>
      <c r="AM12" s="530">
        <f>AL12*$E$12</f>
        <v>0</v>
      </c>
      <c r="AN12" s="529"/>
      <c r="AO12" s="530">
        <f>AN12*$E$12</f>
        <v>0</v>
      </c>
    </row>
    <row r="13" spans="1:41" ht="13.8" x14ac:dyDescent="0.25">
      <c r="A13" s="414">
        <v>10</v>
      </c>
      <c r="B13" s="415"/>
      <c r="C13" s="415" t="s">
        <v>568</v>
      </c>
      <c r="D13" s="415" t="s">
        <v>619</v>
      </c>
      <c r="E13" s="416">
        <v>122000</v>
      </c>
      <c r="F13" s="417">
        <v>46148</v>
      </c>
      <c r="G13" s="417">
        <v>46203</v>
      </c>
      <c r="H13" s="524">
        <v>0</v>
      </c>
      <c r="I13" s="428"/>
      <c r="J13" s="547" t="e">
        <f t="shared" ref="J13:J19" si="6">I13*C13</f>
        <v>#VALUE!</v>
      </c>
      <c r="K13" s="428"/>
      <c r="L13" s="547">
        <f t="shared" ref="L13:L19" si="7">K13*E13</f>
        <v>0</v>
      </c>
      <c r="M13" s="541"/>
      <c r="N13" s="529"/>
      <c r="O13" s="530">
        <f t="shared" si="4"/>
        <v>0</v>
      </c>
      <c r="P13" s="529"/>
      <c r="Q13" s="530">
        <f t="shared" si="5"/>
        <v>0</v>
      </c>
      <c r="R13" s="529"/>
      <c r="S13" s="530">
        <f t="shared" ref="S13" si="8">R13*$E$12</f>
        <v>0</v>
      </c>
      <c r="T13" s="529"/>
      <c r="U13" s="530">
        <f t="shared" ref="U13" si="9">T13*$E$12</f>
        <v>0</v>
      </c>
      <c r="V13" s="529"/>
      <c r="W13" s="530">
        <f t="shared" ref="W13" si="10">V13*$E$12</f>
        <v>0</v>
      </c>
      <c r="X13" s="529"/>
      <c r="Y13" s="530">
        <f t="shared" ref="Y13" si="11">X13*$E$12</f>
        <v>0</v>
      </c>
      <c r="Z13" s="529"/>
      <c r="AA13" s="530">
        <f t="shared" ref="AA13" si="12">Z13*$E$12</f>
        <v>0</v>
      </c>
      <c r="AB13" s="529"/>
      <c r="AC13" s="530">
        <f t="shared" ref="AC13" si="13">AB13*$E$12</f>
        <v>0</v>
      </c>
      <c r="AD13" s="529"/>
      <c r="AE13" s="530">
        <f t="shared" ref="AE13" si="14">AD13*$E$12</f>
        <v>0</v>
      </c>
      <c r="AF13" s="529"/>
      <c r="AG13" s="530">
        <f t="shared" ref="AG13" si="15">AF13*$E$12</f>
        <v>0</v>
      </c>
      <c r="AH13" s="529"/>
      <c r="AI13" s="530">
        <f t="shared" ref="AI13" si="16">AH13*$E$12</f>
        <v>0</v>
      </c>
      <c r="AJ13" s="529"/>
      <c r="AK13" s="530">
        <f t="shared" ref="AK13" si="17">AJ13*$E$12</f>
        <v>0</v>
      </c>
      <c r="AL13" s="529"/>
      <c r="AM13" s="530">
        <f t="shared" ref="AM13" si="18">AL13*$E$12</f>
        <v>0</v>
      </c>
      <c r="AN13" s="529"/>
      <c r="AO13" s="530">
        <f t="shared" ref="AO13" si="19">AN13*$E$12</f>
        <v>0</v>
      </c>
    </row>
    <row r="14" spans="1:41" ht="13.8" x14ac:dyDescent="0.25">
      <c r="A14" s="414">
        <v>11</v>
      </c>
      <c r="B14" s="415"/>
      <c r="C14" s="415"/>
      <c r="D14" s="415"/>
      <c r="E14" s="416"/>
      <c r="F14" s="417"/>
      <c r="G14" s="417"/>
      <c r="H14" s="524"/>
      <c r="I14" s="428"/>
      <c r="J14" s="547">
        <f t="shared" si="6"/>
        <v>0</v>
      </c>
      <c r="K14" s="428"/>
      <c r="L14" s="547">
        <f t="shared" si="7"/>
        <v>0</v>
      </c>
      <c r="M14" s="541"/>
      <c r="N14" s="529"/>
      <c r="O14" s="530">
        <f t="shared" si="4"/>
        <v>0</v>
      </c>
      <c r="P14" s="529"/>
      <c r="Q14" s="530">
        <f t="shared" si="5"/>
        <v>0</v>
      </c>
      <c r="R14" s="529"/>
      <c r="S14" s="530">
        <f t="shared" ref="S14" si="20">R14*$E$12</f>
        <v>0</v>
      </c>
      <c r="T14" s="529"/>
      <c r="U14" s="530">
        <f t="shared" ref="U14" si="21">T14*$E$12</f>
        <v>0</v>
      </c>
      <c r="V14" s="529"/>
      <c r="W14" s="530">
        <f t="shared" ref="W14" si="22">V14*$E$12</f>
        <v>0</v>
      </c>
      <c r="X14" s="529"/>
      <c r="Y14" s="530">
        <f t="shared" ref="Y14" si="23">X14*$E$12</f>
        <v>0</v>
      </c>
      <c r="Z14" s="529"/>
      <c r="AA14" s="530">
        <f t="shared" ref="AA14" si="24">Z14*$E$12</f>
        <v>0</v>
      </c>
      <c r="AB14" s="529"/>
      <c r="AC14" s="530">
        <f t="shared" ref="AC14" si="25">AB14*$E$12</f>
        <v>0</v>
      </c>
      <c r="AD14" s="529"/>
      <c r="AE14" s="530">
        <f t="shared" ref="AE14" si="26">AD14*$E$12</f>
        <v>0</v>
      </c>
      <c r="AF14" s="529"/>
      <c r="AG14" s="530">
        <f t="shared" ref="AG14" si="27">AF14*$E$12</f>
        <v>0</v>
      </c>
      <c r="AH14" s="529"/>
      <c r="AI14" s="530">
        <f t="shared" ref="AI14" si="28">AH14*$E$12</f>
        <v>0</v>
      </c>
      <c r="AJ14" s="529"/>
      <c r="AK14" s="530">
        <f t="shared" ref="AK14" si="29">AJ14*$E$12</f>
        <v>0</v>
      </c>
      <c r="AL14" s="529"/>
      <c r="AM14" s="530">
        <f t="shared" ref="AM14" si="30">AL14*$E$12</f>
        <v>0</v>
      </c>
      <c r="AN14" s="529"/>
      <c r="AO14" s="530">
        <f t="shared" ref="AO14" si="31">AN14*$E$12</f>
        <v>0</v>
      </c>
    </row>
    <row r="15" spans="1:41" ht="13.8" x14ac:dyDescent="0.25">
      <c r="A15" s="414">
        <v>12</v>
      </c>
      <c r="B15" s="415"/>
      <c r="C15" s="415"/>
      <c r="D15" s="415"/>
      <c r="E15" s="416"/>
      <c r="F15" s="417"/>
      <c r="G15" s="417"/>
      <c r="H15" s="524"/>
      <c r="I15" s="428"/>
      <c r="J15" s="547">
        <f t="shared" si="6"/>
        <v>0</v>
      </c>
      <c r="K15" s="428"/>
      <c r="L15" s="547">
        <f t="shared" si="7"/>
        <v>0</v>
      </c>
      <c r="M15" s="541"/>
      <c r="N15" s="529"/>
      <c r="O15" s="530">
        <f t="shared" si="4"/>
        <v>0</v>
      </c>
      <c r="P15" s="529"/>
      <c r="Q15" s="530">
        <f t="shared" si="5"/>
        <v>0</v>
      </c>
      <c r="R15" s="529"/>
      <c r="S15" s="530">
        <f t="shared" ref="S15" si="32">R15*$E$12</f>
        <v>0</v>
      </c>
      <c r="T15" s="529"/>
      <c r="U15" s="530">
        <f t="shared" ref="U15" si="33">T15*$E$12</f>
        <v>0</v>
      </c>
      <c r="V15" s="529"/>
      <c r="W15" s="530">
        <f t="shared" ref="W15" si="34">V15*$E$12</f>
        <v>0</v>
      </c>
      <c r="X15" s="529"/>
      <c r="Y15" s="530">
        <f t="shared" ref="Y15" si="35">X15*$E$12</f>
        <v>0</v>
      </c>
      <c r="Z15" s="529"/>
      <c r="AA15" s="530">
        <f t="shared" ref="AA15" si="36">Z15*$E$12</f>
        <v>0</v>
      </c>
      <c r="AB15" s="529"/>
      <c r="AC15" s="530">
        <f t="shared" ref="AC15" si="37">AB15*$E$12</f>
        <v>0</v>
      </c>
      <c r="AD15" s="529"/>
      <c r="AE15" s="530">
        <f t="shared" ref="AE15" si="38">AD15*$E$12</f>
        <v>0</v>
      </c>
      <c r="AF15" s="529"/>
      <c r="AG15" s="530">
        <f t="shared" ref="AG15" si="39">AF15*$E$12</f>
        <v>0</v>
      </c>
      <c r="AH15" s="529"/>
      <c r="AI15" s="530">
        <f t="shared" ref="AI15" si="40">AH15*$E$12</f>
        <v>0</v>
      </c>
      <c r="AJ15" s="529"/>
      <c r="AK15" s="530">
        <f t="shared" ref="AK15" si="41">AJ15*$E$12</f>
        <v>0</v>
      </c>
      <c r="AL15" s="529"/>
      <c r="AM15" s="530">
        <f t="shared" ref="AM15" si="42">AL15*$E$12</f>
        <v>0</v>
      </c>
      <c r="AN15" s="529"/>
      <c r="AO15" s="530">
        <f t="shared" ref="AO15" si="43">AN15*$E$12</f>
        <v>0</v>
      </c>
    </row>
    <row r="16" spans="1:41" ht="13.8" x14ac:dyDescent="0.25">
      <c r="A16" s="414">
        <v>13</v>
      </c>
      <c r="B16" s="415"/>
      <c r="C16" s="415"/>
      <c r="D16" s="415"/>
      <c r="E16" s="416"/>
      <c r="F16" s="417"/>
      <c r="G16" s="417"/>
      <c r="H16" s="524"/>
      <c r="I16" s="428"/>
      <c r="J16" s="547">
        <f t="shared" si="6"/>
        <v>0</v>
      </c>
      <c r="K16" s="428"/>
      <c r="L16" s="547">
        <f t="shared" si="7"/>
        <v>0</v>
      </c>
      <c r="M16" s="541"/>
      <c r="N16" s="529"/>
      <c r="O16" s="530">
        <f t="shared" si="4"/>
        <v>0</v>
      </c>
      <c r="P16" s="529"/>
      <c r="Q16" s="530">
        <f t="shared" si="5"/>
        <v>0</v>
      </c>
      <c r="R16" s="529"/>
      <c r="S16" s="530">
        <f t="shared" ref="S16" si="44">R16*$E$12</f>
        <v>0</v>
      </c>
      <c r="T16" s="529"/>
      <c r="U16" s="530">
        <f t="shared" ref="U16" si="45">T16*$E$12</f>
        <v>0</v>
      </c>
      <c r="V16" s="529"/>
      <c r="W16" s="530">
        <f t="shared" ref="W16" si="46">V16*$E$12</f>
        <v>0</v>
      </c>
      <c r="X16" s="529"/>
      <c r="Y16" s="530">
        <f t="shared" ref="Y16" si="47">X16*$E$12</f>
        <v>0</v>
      </c>
      <c r="Z16" s="529"/>
      <c r="AA16" s="530">
        <f t="shared" ref="AA16" si="48">Z16*$E$12</f>
        <v>0</v>
      </c>
      <c r="AB16" s="529"/>
      <c r="AC16" s="530">
        <f t="shared" ref="AC16" si="49">AB16*$E$12</f>
        <v>0</v>
      </c>
      <c r="AD16" s="529"/>
      <c r="AE16" s="530">
        <f t="shared" ref="AE16" si="50">AD16*$E$12</f>
        <v>0</v>
      </c>
      <c r="AF16" s="529"/>
      <c r="AG16" s="530">
        <f t="shared" ref="AG16" si="51">AF16*$E$12</f>
        <v>0</v>
      </c>
      <c r="AH16" s="529"/>
      <c r="AI16" s="530">
        <f t="shared" ref="AI16" si="52">AH16*$E$12</f>
        <v>0</v>
      </c>
      <c r="AJ16" s="529"/>
      <c r="AK16" s="530">
        <f t="shared" ref="AK16" si="53">AJ16*$E$12</f>
        <v>0</v>
      </c>
      <c r="AL16" s="529"/>
      <c r="AM16" s="530">
        <f t="shared" ref="AM16" si="54">AL16*$E$12</f>
        <v>0</v>
      </c>
      <c r="AN16" s="529"/>
      <c r="AO16" s="530">
        <f t="shared" ref="AO16" si="55">AN16*$E$12</f>
        <v>0</v>
      </c>
    </row>
    <row r="17" spans="1:41" ht="13.8" x14ac:dyDescent="0.25">
      <c r="A17" s="414">
        <v>14</v>
      </c>
      <c r="B17" s="415"/>
      <c r="C17" s="415"/>
      <c r="D17" s="415"/>
      <c r="E17" s="416"/>
      <c r="F17" s="417"/>
      <c r="G17" s="417"/>
      <c r="H17" s="524"/>
      <c r="I17" s="428"/>
      <c r="J17" s="547">
        <f t="shared" si="6"/>
        <v>0</v>
      </c>
      <c r="K17" s="428"/>
      <c r="L17" s="547">
        <f t="shared" si="7"/>
        <v>0</v>
      </c>
      <c r="M17" s="541"/>
      <c r="N17" s="529"/>
      <c r="O17" s="530">
        <f t="shared" si="4"/>
        <v>0</v>
      </c>
      <c r="P17" s="529"/>
      <c r="Q17" s="530">
        <f t="shared" si="5"/>
        <v>0</v>
      </c>
      <c r="R17" s="529"/>
      <c r="S17" s="530">
        <f t="shared" ref="S17" si="56">R17*$E$12</f>
        <v>0</v>
      </c>
      <c r="T17" s="529"/>
      <c r="U17" s="530">
        <f t="shared" ref="U17" si="57">T17*$E$12</f>
        <v>0</v>
      </c>
      <c r="V17" s="529"/>
      <c r="W17" s="530">
        <f t="shared" ref="W17" si="58">V17*$E$12</f>
        <v>0</v>
      </c>
      <c r="X17" s="529"/>
      <c r="Y17" s="530">
        <f t="shared" ref="Y17" si="59">X17*$E$12</f>
        <v>0</v>
      </c>
      <c r="Z17" s="529"/>
      <c r="AA17" s="530">
        <f t="shared" ref="AA17" si="60">Z17*$E$12</f>
        <v>0</v>
      </c>
      <c r="AB17" s="529"/>
      <c r="AC17" s="530">
        <f t="shared" ref="AC17" si="61">AB17*$E$12</f>
        <v>0</v>
      </c>
      <c r="AD17" s="529"/>
      <c r="AE17" s="530">
        <f t="shared" ref="AE17" si="62">AD17*$E$12</f>
        <v>0</v>
      </c>
      <c r="AF17" s="529"/>
      <c r="AG17" s="530">
        <f t="shared" ref="AG17" si="63">AF17*$E$12</f>
        <v>0</v>
      </c>
      <c r="AH17" s="529"/>
      <c r="AI17" s="530">
        <f t="shared" ref="AI17" si="64">AH17*$E$12</f>
        <v>0</v>
      </c>
      <c r="AJ17" s="529"/>
      <c r="AK17" s="530">
        <f t="shared" ref="AK17" si="65">AJ17*$E$12</f>
        <v>0</v>
      </c>
      <c r="AL17" s="529"/>
      <c r="AM17" s="530">
        <f t="shared" ref="AM17" si="66">AL17*$E$12</f>
        <v>0</v>
      </c>
      <c r="AN17" s="529"/>
      <c r="AO17" s="530">
        <f t="shared" ref="AO17" si="67">AN17*$E$12</f>
        <v>0</v>
      </c>
    </row>
    <row r="18" spans="1:41" ht="13.8" x14ac:dyDescent="0.25">
      <c r="A18" s="414">
        <v>15</v>
      </c>
      <c r="B18" s="415"/>
      <c r="C18" s="415"/>
      <c r="D18" s="415"/>
      <c r="E18" s="416"/>
      <c r="F18" s="417"/>
      <c r="G18" s="417"/>
      <c r="H18" s="524"/>
      <c r="I18" s="428"/>
      <c r="J18" s="547">
        <f t="shared" si="6"/>
        <v>0</v>
      </c>
      <c r="K18" s="428"/>
      <c r="L18" s="547">
        <f t="shared" si="7"/>
        <v>0</v>
      </c>
      <c r="M18" s="541"/>
      <c r="N18" s="529"/>
      <c r="O18" s="530">
        <f>N18*$E$18</f>
        <v>0</v>
      </c>
      <c r="P18" s="529"/>
      <c r="Q18" s="530">
        <f>P18*$E$18</f>
        <v>0</v>
      </c>
      <c r="R18" s="529"/>
      <c r="S18" s="530">
        <f>R18*$E$18</f>
        <v>0</v>
      </c>
      <c r="T18" s="529"/>
      <c r="U18" s="530">
        <f>T18*$E$18</f>
        <v>0</v>
      </c>
      <c r="V18" s="529"/>
      <c r="W18" s="530">
        <f>V18*$E$18</f>
        <v>0</v>
      </c>
      <c r="X18" s="529"/>
      <c r="Y18" s="530">
        <f>X18*$E$18</f>
        <v>0</v>
      </c>
      <c r="Z18" s="529"/>
      <c r="AA18" s="530">
        <f>Z18*$E$18</f>
        <v>0</v>
      </c>
      <c r="AB18" s="529"/>
      <c r="AC18" s="530">
        <f>AB18*$E$18</f>
        <v>0</v>
      </c>
      <c r="AD18" s="529"/>
      <c r="AE18" s="530">
        <f>AD18*$E$18</f>
        <v>0</v>
      </c>
      <c r="AF18" s="529"/>
      <c r="AG18" s="530">
        <f>AF18*$E$18</f>
        <v>0</v>
      </c>
      <c r="AH18" s="529"/>
      <c r="AI18" s="530">
        <f>AH18*$E$18</f>
        <v>0</v>
      </c>
      <c r="AJ18" s="529"/>
      <c r="AK18" s="530">
        <f>AJ18*$E$18</f>
        <v>0</v>
      </c>
      <c r="AL18" s="529"/>
      <c r="AM18" s="530">
        <f>AL18*$E$18</f>
        <v>0</v>
      </c>
      <c r="AN18" s="529"/>
      <c r="AO18" s="530">
        <f>AN18*$E$18</f>
        <v>0</v>
      </c>
    </row>
    <row r="19" spans="1:41" ht="13.8" x14ac:dyDescent="0.25">
      <c r="A19" s="414">
        <v>16</v>
      </c>
      <c r="B19" s="415"/>
      <c r="C19" s="415"/>
      <c r="D19" s="415"/>
      <c r="E19" s="416"/>
      <c r="F19" s="417"/>
      <c r="G19" s="417"/>
      <c r="H19" s="524"/>
      <c r="I19" s="428"/>
      <c r="J19" s="547">
        <f t="shared" si="6"/>
        <v>0</v>
      </c>
      <c r="K19" s="428"/>
      <c r="L19" s="547">
        <f t="shared" si="7"/>
        <v>0</v>
      </c>
      <c r="M19" s="541"/>
      <c r="N19" s="529"/>
      <c r="O19" s="530">
        <f>N19*$E$19</f>
        <v>0</v>
      </c>
      <c r="P19" s="529"/>
      <c r="Q19" s="530">
        <f>P19*$E$19</f>
        <v>0</v>
      </c>
      <c r="R19" s="529"/>
      <c r="S19" s="530">
        <f>R19*$E$19</f>
        <v>0</v>
      </c>
      <c r="T19" s="529"/>
      <c r="U19" s="530">
        <f>T19*$E$19</f>
        <v>0</v>
      </c>
      <c r="V19" s="529"/>
      <c r="W19" s="530">
        <f>V19*$E$19</f>
        <v>0</v>
      </c>
      <c r="X19" s="529"/>
      <c r="Y19" s="530">
        <f>X19*$E$19</f>
        <v>0</v>
      </c>
      <c r="Z19" s="529"/>
      <c r="AA19" s="530">
        <f>Z19*$E$19</f>
        <v>0</v>
      </c>
      <c r="AB19" s="529"/>
      <c r="AC19" s="530">
        <f>AB19*$E$19</f>
        <v>0</v>
      </c>
      <c r="AD19" s="529"/>
      <c r="AE19" s="530">
        <f>AD19*$E$19</f>
        <v>0</v>
      </c>
      <c r="AF19" s="529"/>
      <c r="AG19" s="530">
        <f>AF19*$E$19</f>
        <v>0</v>
      </c>
      <c r="AH19" s="529"/>
      <c r="AI19" s="530">
        <f>AH19*$E$19</f>
        <v>0</v>
      </c>
      <c r="AJ19" s="529"/>
      <c r="AK19" s="530">
        <f>AJ19*$E$19</f>
        <v>0</v>
      </c>
      <c r="AL19" s="529"/>
      <c r="AM19" s="530">
        <f>AL19*$E$19</f>
        <v>0</v>
      </c>
      <c r="AN19" s="529"/>
      <c r="AO19" s="530">
        <f>AN19*$E$19</f>
        <v>0</v>
      </c>
    </row>
    <row r="20" spans="1:41" x14ac:dyDescent="0.25">
      <c r="A20" s="414"/>
      <c r="B20" s="523"/>
      <c r="C20" s="523"/>
      <c r="D20" s="523"/>
      <c r="E20" s="419">
        <f>SUM(E4:E19)</f>
        <v>3793351.7199999997</v>
      </c>
      <c r="F20" s="523"/>
      <c r="G20" s="523"/>
      <c r="H20" s="523"/>
      <c r="I20" s="428"/>
      <c r="J20" s="522" t="e">
        <f>SUM(J4:J19)</f>
        <v>#VALUE!</v>
      </c>
      <c r="K20" s="428"/>
      <c r="L20" s="522">
        <f>SUM(L4:L19)</f>
        <v>1769519.7439999999</v>
      </c>
      <c r="O20" s="543">
        <f>SUM(O4:O19)</f>
        <v>740100.93</v>
      </c>
      <c r="Q20" s="543">
        <f>Q8+Q6+Q5</f>
        <v>580000</v>
      </c>
    </row>
    <row r="21" spans="1:41" x14ac:dyDescent="0.25">
      <c r="M21" s="539" t="s">
        <v>557</v>
      </c>
      <c r="O21" s="535">
        <f>SUM(O22:O34)</f>
        <v>501799.22399999999</v>
      </c>
      <c r="Q21" s="535">
        <f>SUM(Q22:Q32)</f>
        <v>1000113.8400000001</v>
      </c>
    </row>
    <row r="22" spans="1:41" x14ac:dyDescent="0.25">
      <c r="G22" s="538" t="s">
        <v>566</v>
      </c>
      <c r="H22" s="533">
        <v>342422.65</v>
      </c>
      <c r="J22" s="533">
        <v>299904</v>
      </c>
      <c r="L22" s="533">
        <v>299904</v>
      </c>
      <c r="M22" s="418" t="s">
        <v>558</v>
      </c>
      <c r="N22" s="525">
        <v>0.7</v>
      </c>
      <c r="O22" s="534">
        <f>L22*0.7</f>
        <v>209932.79999999999</v>
      </c>
      <c r="P22" s="542" t="s">
        <v>600</v>
      </c>
      <c r="Q22" s="534">
        <f>230050*0.7</f>
        <v>161035</v>
      </c>
    </row>
    <row r="23" spans="1:41" x14ac:dyDescent="0.25">
      <c r="J23" s="533">
        <v>85000</v>
      </c>
      <c r="L23" s="533">
        <v>85000</v>
      </c>
      <c r="M23" s="418" t="s">
        <v>562</v>
      </c>
      <c r="N23" s="525">
        <v>0.5</v>
      </c>
      <c r="O23" s="537">
        <f>L23*0.5</f>
        <v>42500</v>
      </c>
      <c r="P23" s="544" t="s">
        <v>562</v>
      </c>
      <c r="Q23" s="537">
        <v>43000</v>
      </c>
    </row>
    <row r="24" spans="1:41" x14ac:dyDescent="0.25">
      <c r="H24" s="536">
        <f>H22-O21</f>
        <v>-159376.57399999996</v>
      </c>
      <c r="J24" s="533"/>
      <c r="L24" s="533"/>
      <c r="M24" s="418" t="s">
        <v>563</v>
      </c>
      <c r="O24" s="537">
        <v>130000</v>
      </c>
      <c r="P24" s="542" t="s">
        <v>602</v>
      </c>
      <c r="Q24" s="534">
        <v>150000</v>
      </c>
    </row>
    <row r="25" spans="1:41" x14ac:dyDescent="0.25">
      <c r="J25" s="533">
        <v>157888.07999999999</v>
      </c>
      <c r="L25" s="533">
        <v>157888.07999999999</v>
      </c>
      <c r="M25" s="418" t="s">
        <v>564</v>
      </c>
      <c r="N25" s="525">
        <v>0.3</v>
      </c>
      <c r="O25" s="534">
        <f>L25*0.3</f>
        <v>47366.423999999992</v>
      </c>
      <c r="P25" s="542" t="s">
        <v>601</v>
      </c>
      <c r="Q25" s="534">
        <f>480000*0.15</f>
        <v>72000</v>
      </c>
    </row>
    <row r="26" spans="1:41" x14ac:dyDescent="0.25">
      <c r="J26" s="533">
        <v>480000</v>
      </c>
      <c r="L26" s="533">
        <v>480000</v>
      </c>
      <c r="M26" s="418" t="s">
        <v>565</v>
      </c>
      <c r="N26" s="525">
        <v>0.15</v>
      </c>
      <c r="O26" s="534">
        <f>N26*L26</f>
        <v>72000</v>
      </c>
      <c r="P26" s="545" t="s">
        <v>603</v>
      </c>
      <c r="Q26" s="537">
        <v>44344.55</v>
      </c>
    </row>
    <row r="27" spans="1:41" x14ac:dyDescent="0.25">
      <c r="J27" s="533"/>
      <c r="L27" s="533"/>
      <c r="O27" s="534"/>
      <c r="P27" s="542" t="s">
        <v>601</v>
      </c>
      <c r="Q27" s="537">
        <v>49920</v>
      </c>
    </row>
    <row r="28" spans="1:41" x14ac:dyDescent="0.25">
      <c r="J28" s="533"/>
      <c r="L28" s="533"/>
      <c r="O28" s="534"/>
      <c r="P28" s="542" t="s">
        <v>601</v>
      </c>
      <c r="Q28" s="537">
        <v>124800</v>
      </c>
    </row>
    <row r="29" spans="1:41" x14ac:dyDescent="0.25">
      <c r="O29" s="534"/>
      <c r="P29" s="545" t="s">
        <v>577</v>
      </c>
      <c r="Q29" s="537">
        <f>809.78+1318.24+118258.17+224628.1</f>
        <v>345014.29000000004</v>
      </c>
    </row>
    <row r="30" spans="1:41" x14ac:dyDescent="0.25">
      <c r="O30" s="534"/>
      <c r="P30" s="545" t="s">
        <v>608</v>
      </c>
      <c r="Q30" s="534">
        <v>10000</v>
      </c>
    </row>
    <row r="31" spans="1:41" x14ac:dyDescent="0.25">
      <c r="O31" s="534"/>
      <c r="P31" s="545"/>
      <c r="Q31" s="534"/>
    </row>
    <row r="32" spans="1:41" x14ac:dyDescent="0.25">
      <c r="O32" s="534"/>
      <c r="P32" s="545"/>
      <c r="Q32" s="534"/>
    </row>
    <row r="33" spans="15:17" x14ac:dyDescent="0.25">
      <c r="O33" s="534"/>
      <c r="P33" s="545" t="s">
        <v>606</v>
      </c>
      <c r="Q33" s="534">
        <f>Q25+Q24+Q22+Q30</f>
        <v>393035</v>
      </c>
    </row>
    <row r="34" spans="15:17" x14ac:dyDescent="0.25">
      <c r="O34" s="534"/>
      <c r="P34" s="545" t="s">
        <v>607</v>
      </c>
      <c r="Q34" s="543">
        <f>Q7+Q4+Q9</f>
        <v>273629.59999999998</v>
      </c>
    </row>
    <row r="35" spans="15:17" x14ac:dyDescent="0.25">
      <c r="O35" s="534"/>
      <c r="P35" s="545"/>
    </row>
    <row r="36" spans="15:17" x14ac:dyDescent="0.25">
      <c r="O36" s="534"/>
      <c r="P36" s="545"/>
    </row>
    <row r="37" spans="15:17" x14ac:dyDescent="0.25">
      <c r="O37" s="534"/>
      <c r="P37" s="546"/>
    </row>
    <row r="38" spans="15:17" x14ac:dyDescent="0.25">
      <c r="O38" s="534"/>
      <c r="P38" s="546"/>
    </row>
    <row r="39" spans="15:17" x14ac:dyDescent="0.25">
      <c r="O39" s="534"/>
      <c r="P39" s="546"/>
    </row>
    <row r="40" spans="15:17" x14ac:dyDescent="0.25">
      <c r="O40" s="534"/>
      <c r="P40" s="546"/>
    </row>
    <row r="41" spans="15:17" x14ac:dyDescent="0.25">
      <c r="O41" s="534"/>
      <c r="P41" s="546"/>
    </row>
    <row r="42" spans="15:17" x14ac:dyDescent="0.25">
      <c r="O42" s="534"/>
    </row>
    <row r="43" spans="15:17" x14ac:dyDescent="0.25">
      <c r="O43" s="534"/>
    </row>
    <row r="44" spans="15:17" x14ac:dyDescent="0.25">
      <c r="O44" s="534"/>
    </row>
    <row r="45" spans="15:17" x14ac:dyDescent="0.25">
      <c r="O45" s="534"/>
    </row>
    <row r="46" spans="15:17" x14ac:dyDescent="0.25">
      <c r="O46" s="534"/>
    </row>
    <row r="47" spans="15:17" x14ac:dyDescent="0.25">
      <c r="O47" s="534"/>
    </row>
    <row r="48" spans="15:17" x14ac:dyDescent="0.25">
      <c r="O48" s="534"/>
    </row>
    <row r="49" spans="15:15" x14ac:dyDescent="0.25">
      <c r="O49" s="534"/>
    </row>
    <row r="50" spans="15:15" x14ac:dyDescent="0.25">
      <c r="O50" s="534"/>
    </row>
    <row r="51" spans="15:15" x14ac:dyDescent="0.25">
      <c r="O51" s="534"/>
    </row>
    <row r="52" spans="15:15" x14ac:dyDescent="0.25">
      <c r="O52" s="534"/>
    </row>
    <row r="53" spans="15:15" x14ac:dyDescent="0.25">
      <c r="O53" s="534"/>
    </row>
    <row r="54" spans="15:15" x14ac:dyDescent="0.25">
      <c r="O54" s="534"/>
    </row>
    <row r="55" spans="15:15" x14ac:dyDescent="0.25">
      <c r="O55" s="534"/>
    </row>
    <row r="56" spans="15:15" x14ac:dyDescent="0.25">
      <c r="O56" s="534"/>
    </row>
    <row r="57" spans="15:15" x14ac:dyDescent="0.25">
      <c r="O57" s="534"/>
    </row>
    <row r="58" spans="15:15" x14ac:dyDescent="0.25">
      <c r="O58" s="534"/>
    </row>
    <row r="59" spans="15:15" x14ac:dyDescent="0.25">
      <c r="O59" s="534"/>
    </row>
    <row r="60" spans="15:15" x14ac:dyDescent="0.25">
      <c r="O60" s="534"/>
    </row>
    <row r="61" spans="15:15" x14ac:dyDescent="0.25">
      <c r="O61" s="534"/>
    </row>
    <row r="62" spans="15:15" x14ac:dyDescent="0.25">
      <c r="O62" s="534"/>
    </row>
    <row r="63" spans="15:15" x14ac:dyDescent="0.25">
      <c r="O63" s="534"/>
    </row>
    <row r="64" spans="15:15" x14ac:dyDescent="0.25">
      <c r="O64" s="534"/>
    </row>
    <row r="65" spans="15:15" x14ac:dyDescent="0.25">
      <c r="O65" s="534"/>
    </row>
    <row r="66" spans="15:15" x14ac:dyDescent="0.25">
      <c r="O66" s="534"/>
    </row>
    <row r="67" spans="15:15" x14ac:dyDescent="0.25">
      <c r="O67" s="534"/>
    </row>
    <row r="68" spans="15:15" x14ac:dyDescent="0.25">
      <c r="O68" s="534"/>
    </row>
    <row r="69" spans="15:15" x14ac:dyDescent="0.25">
      <c r="O69" s="534"/>
    </row>
    <row r="70" spans="15:15" x14ac:dyDescent="0.25">
      <c r="O70" s="534"/>
    </row>
    <row r="71" spans="15:15" x14ac:dyDescent="0.25">
      <c r="O71" s="534"/>
    </row>
    <row r="72" spans="15:15" x14ac:dyDescent="0.25">
      <c r="O72" s="534"/>
    </row>
    <row r="73" spans="15:15" x14ac:dyDescent="0.25">
      <c r="O73" s="534"/>
    </row>
    <row r="74" spans="15:15" x14ac:dyDescent="0.25">
      <c r="O74" s="534"/>
    </row>
    <row r="75" spans="15:15" x14ac:dyDescent="0.25">
      <c r="O75" s="534"/>
    </row>
    <row r="76" spans="15:15" x14ac:dyDescent="0.25">
      <c r="O76" s="534"/>
    </row>
    <row r="77" spans="15:15" x14ac:dyDescent="0.25">
      <c r="O77" s="534"/>
    </row>
    <row r="78" spans="15:15" x14ac:dyDescent="0.25">
      <c r="O78" s="534"/>
    </row>
    <row r="79" spans="15:15" x14ac:dyDescent="0.25">
      <c r="O79" s="534"/>
    </row>
    <row r="80" spans="15:15" x14ac:dyDescent="0.25">
      <c r="O80" s="534"/>
    </row>
    <row r="81" spans="15:15" x14ac:dyDescent="0.25">
      <c r="O81" s="534"/>
    </row>
    <row r="82" spans="15:15" x14ac:dyDescent="0.25">
      <c r="O82" s="534"/>
    </row>
    <row r="83" spans="15:15" x14ac:dyDescent="0.25">
      <c r="O83" s="534"/>
    </row>
    <row r="84" spans="15:15" x14ac:dyDescent="0.25">
      <c r="O84" s="534"/>
    </row>
    <row r="85" spans="15:15" x14ac:dyDescent="0.25">
      <c r="O85" s="534"/>
    </row>
    <row r="86" spans="15:15" x14ac:dyDescent="0.25">
      <c r="O86" s="534"/>
    </row>
    <row r="87" spans="15:15" x14ac:dyDescent="0.25">
      <c r="O87" s="534"/>
    </row>
    <row r="88" spans="15:15" x14ac:dyDescent="0.25">
      <c r="O88" s="534"/>
    </row>
    <row r="89" spans="15:15" x14ac:dyDescent="0.25">
      <c r="O89" s="534"/>
    </row>
    <row r="90" spans="15:15" x14ac:dyDescent="0.25">
      <c r="O90" s="534"/>
    </row>
    <row r="91" spans="15:15" x14ac:dyDescent="0.25">
      <c r="O91" s="534"/>
    </row>
    <row r="92" spans="15:15" x14ac:dyDescent="0.25">
      <c r="O92" s="534"/>
    </row>
    <row r="93" spans="15:15" x14ac:dyDescent="0.25">
      <c r="O93" s="534"/>
    </row>
    <row r="94" spans="15:15" x14ac:dyDescent="0.25">
      <c r="O94" s="534"/>
    </row>
    <row r="95" spans="15:15" x14ac:dyDescent="0.25">
      <c r="O95" s="534"/>
    </row>
    <row r="96" spans="15:15" x14ac:dyDescent="0.25">
      <c r="O96" s="534"/>
    </row>
    <row r="97" spans="15:15" x14ac:dyDescent="0.25">
      <c r="O97" s="534"/>
    </row>
    <row r="98" spans="15:15" x14ac:dyDescent="0.25">
      <c r="O98" s="534"/>
    </row>
    <row r="99" spans="15:15" x14ac:dyDescent="0.25">
      <c r="O99" s="534"/>
    </row>
    <row r="100" spans="15:15" x14ac:dyDescent="0.25">
      <c r="O100" s="534"/>
    </row>
    <row r="101" spans="15:15" x14ac:dyDescent="0.25">
      <c r="O101" s="534"/>
    </row>
    <row r="102" spans="15:15" x14ac:dyDescent="0.25">
      <c r="O102" s="534"/>
    </row>
    <row r="103" spans="15:15" x14ac:dyDescent="0.25">
      <c r="O103" s="534"/>
    </row>
    <row r="104" spans="15:15" x14ac:dyDescent="0.25">
      <c r="O104" s="534"/>
    </row>
    <row r="105" spans="15:15" x14ac:dyDescent="0.25">
      <c r="O105" s="534"/>
    </row>
    <row r="106" spans="15:15" x14ac:dyDescent="0.25">
      <c r="O106" s="534"/>
    </row>
    <row r="107" spans="15:15" x14ac:dyDescent="0.25">
      <c r="O107" s="534"/>
    </row>
    <row r="108" spans="15:15" x14ac:dyDescent="0.25">
      <c r="O108" s="534"/>
    </row>
    <row r="109" spans="15:15" x14ac:dyDescent="0.25">
      <c r="O109" s="534"/>
    </row>
    <row r="110" spans="15:15" x14ac:dyDescent="0.25">
      <c r="O110" s="534"/>
    </row>
    <row r="111" spans="15:15" x14ac:dyDescent="0.25">
      <c r="O111" s="534"/>
    </row>
    <row r="112" spans="15:15" x14ac:dyDescent="0.25">
      <c r="O112" s="534"/>
    </row>
    <row r="113" spans="15:15" x14ac:dyDescent="0.25">
      <c r="O113" s="534"/>
    </row>
    <row r="114" spans="15:15" x14ac:dyDescent="0.25">
      <c r="O114" s="534"/>
    </row>
    <row r="115" spans="15:15" x14ac:dyDescent="0.25">
      <c r="O115" s="534"/>
    </row>
    <row r="116" spans="15:15" x14ac:dyDescent="0.25">
      <c r="O116" s="534"/>
    </row>
    <row r="117" spans="15:15" x14ac:dyDescent="0.25">
      <c r="O117" s="534"/>
    </row>
    <row r="118" spans="15:15" x14ac:dyDescent="0.25">
      <c r="O118" s="534"/>
    </row>
    <row r="119" spans="15:15" x14ac:dyDescent="0.25">
      <c r="O119" s="534"/>
    </row>
    <row r="120" spans="15:15" x14ac:dyDescent="0.25">
      <c r="O120" s="534"/>
    </row>
  </sheetData>
  <mergeCells count="2">
    <mergeCell ref="K2:L2"/>
    <mergeCell ref="I2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8CB1-0F33-4523-A6D1-C11DAA65507A}">
  <sheetPr>
    <tabColor theme="2" tint="-0.749992370372631"/>
  </sheetPr>
  <dimension ref="B1:BW96"/>
  <sheetViews>
    <sheetView topLeftCell="A52" zoomScale="60" zoomScaleNormal="60" workbookViewId="0">
      <selection activeCell="H41" sqref="H41"/>
    </sheetView>
  </sheetViews>
  <sheetFormatPr defaultRowHeight="13.8" x14ac:dyDescent="0.25"/>
  <cols>
    <col min="2" max="2" width="21.59765625" style="1" customWidth="1"/>
    <col min="3" max="3" width="48.19921875" style="1" customWidth="1"/>
    <col min="4" max="4" width="19.19921875" style="1" customWidth="1"/>
    <col min="5" max="5" width="50.5" style="1" customWidth="1"/>
    <col min="6" max="6" width="38.09765625" style="1" customWidth="1"/>
    <col min="7" max="7" width="26" style="1" customWidth="1"/>
    <col min="8" max="9" width="22.19921875" style="1" customWidth="1"/>
    <col min="10" max="10" width="16.796875" customWidth="1"/>
    <col min="12" max="12" width="13" bestFit="1" customWidth="1"/>
    <col min="13" max="13" width="12.8984375" bestFit="1" customWidth="1"/>
    <col min="21" max="21" width="6.5" style="177" customWidth="1"/>
    <col min="22" max="26" width="14.09765625" customWidth="1"/>
    <col min="27" max="27" width="6.09765625" style="177" customWidth="1"/>
    <col min="28" max="54" width="4.796875" style="177" customWidth="1"/>
    <col min="55" max="55" width="8.8984375" style="177" customWidth="1"/>
    <col min="56" max="56" width="12.09765625" style="177" customWidth="1"/>
    <col min="57" max="75" width="4.796875" style="177" customWidth="1"/>
  </cols>
  <sheetData>
    <row r="1" spans="2:75" ht="22.2" x14ac:dyDescent="0.35">
      <c r="B1" s="14" t="s">
        <v>0</v>
      </c>
      <c r="C1" s="2" t="s">
        <v>21</v>
      </c>
      <c r="D1" s="2"/>
      <c r="E1" s="2"/>
      <c r="F1" s="3"/>
      <c r="G1" s="3"/>
      <c r="H1" s="146" t="s">
        <v>1</v>
      </c>
      <c r="I1" s="147">
        <v>45833</v>
      </c>
    </row>
    <row r="2" spans="2:75" ht="22.2" x14ac:dyDescent="0.55000000000000004">
      <c r="B2" s="4" t="s">
        <v>2</v>
      </c>
      <c r="C2" s="5" t="s">
        <v>289</v>
      </c>
      <c r="D2" s="5"/>
      <c r="E2" s="5"/>
      <c r="F2" s="3"/>
      <c r="G2" s="3"/>
      <c r="H2" s="146" t="s">
        <v>3</v>
      </c>
      <c r="I2" s="148"/>
    </row>
    <row r="3" spans="2:75" ht="22.2" x14ac:dyDescent="0.55000000000000004">
      <c r="B3" s="4" t="s">
        <v>74</v>
      </c>
      <c r="C3" s="145">
        <f>C52</f>
        <v>0</v>
      </c>
      <c r="D3" s="6"/>
      <c r="E3" s="6"/>
      <c r="F3" s="7"/>
      <c r="G3" s="7"/>
      <c r="H3" s="7"/>
      <c r="I3" s="7"/>
    </row>
    <row r="4" spans="2:75" ht="22.2" customHeight="1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AA4" s="568">
        <v>45811</v>
      </c>
      <c r="AB4" s="568">
        <v>45812</v>
      </c>
      <c r="AC4" s="568">
        <v>45813</v>
      </c>
      <c r="AD4" s="568">
        <v>45814</v>
      </c>
      <c r="AE4" s="568">
        <v>45815</v>
      </c>
      <c r="AF4" s="571">
        <v>45816</v>
      </c>
      <c r="AG4" s="568">
        <v>45817</v>
      </c>
      <c r="AH4" s="568">
        <v>45818</v>
      </c>
      <c r="AI4" s="568">
        <v>45819</v>
      </c>
      <c r="AJ4" s="568">
        <v>45820</v>
      </c>
      <c r="AK4" s="568">
        <v>45821</v>
      </c>
      <c r="AL4" s="568">
        <v>45822</v>
      </c>
      <c r="AM4" s="571">
        <v>45823</v>
      </c>
      <c r="AN4" s="568">
        <v>45824</v>
      </c>
      <c r="AO4" s="568">
        <v>45825</v>
      </c>
      <c r="AP4" s="568">
        <v>45826</v>
      </c>
      <c r="AQ4" s="568">
        <v>45827</v>
      </c>
      <c r="AR4" s="568">
        <v>45828</v>
      </c>
      <c r="AS4" s="568">
        <v>45829</v>
      </c>
      <c r="AT4" s="571">
        <v>45830</v>
      </c>
      <c r="AU4" s="568">
        <v>45831</v>
      </c>
      <c r="AV4" s="568">
        <v>45832</v>
      </c>
      <c r="AW4" s="568">
        <v>45833</v>
      </c>
      <c r="AX4" s="568">
        <v>45834</v>
      </c>
      <c r="AY4" s="568">
        <v>45835</v>
      </c>
      <c r="AZ4" s="568">
        <v>45836</v>
      </c>
      <c r="BA4" s="571">
        <v>45837</v>
      </c>
      <c r="BB4" s="568">
        <v>45838</v>
      </c>
      <c r="BC4" s="182"/>
      <c r="BD4" s="182"/>
      <c r="BE4" s="568">
        <v>45839</v>
      </c>
      <c r="BF4" s="568">
        <v>45840</v>
      </c>
      <c r="BG4" s="568">
        <v>45841</v>
      </c>
      <c r="BH4" s="568">
        <v>45842</v>
      </c>
      <c r="BI4" s="568">
        <v>45843</v>
      </c>
      <c r="BJ4" s="571">
        <v>45844</v>
      </c>
      <c r="BK4" s="568">
        <v>45845</v>
      </c>
      <c r="BL4" s="568">
        <v>45846</v>
      </c>
      <c r="BM4" s="568">
        <v>45847</v>
      </c>
      <c r="BN4" s="568">
        <v>45848</v>
      </c>
      <c r="BO4" s="568">
        <v>45849</v>
      </c>
      <c r="BP4" s="568">
        <v>45850</v>
      </c>
      <c r="BQ4" s="571">
        <v>45851</v>
      </c>
      <c r="BR4" s="568">
        <v>45852</v>
      </c>
      <c r="BS4" s="568">
        <v>45853</v>
      </c>
      <c r="BT4" s="568">
        <v>45854</v>
      </c>
      <c r="BU4" s="568">
        <v>45855</v>
      </c>
      <c r="BV4" s="568">
        <v>45856</v>
      </c>
      <c r="BW4" s="568">
        <v>45857</v>
      </c>
    </row>
    <row r="5" spans="2:75" ht="22.2" x14ac:dyDescent="0.55000000000000004">
      <c r="B5" s="4" t="s">
        <v>7</v>
      </c>
      <c r="C5" s="11">
        <f>C53</f>
        <v>0</v>
      </c>
      <c r="D5" s="9"/>
      <c r="E5" s="556"/>
      <c r="F5" s="556"/>
      <c r="G5" s="3"/>
      <c r="H5" s="7"/>
      <c r="I5" s="7"/>
      <c r="AA5" s="569"/>
      <c r="AB5" s="569"/>
      <c r="AC5" s="569"/>
      <c r="AD5" s="569"/>
      <c r="AE5" s="569"/>
      <c r="AF5" s="572"/>
      <c r="AG5" s="569"/>
      <c r="AH5" s="569"/>
      <c r="AI5" s="569"/>
      <c r="AJ5" s="569"/>
      <c r="AK5" s="569"/>
      <c r="AL5" s="569"/>
      <c r="AM5" s="572"/>
      <c r="AN5" s="569"/>
      <c r="AO5" s="569"/>
      <c r="AP5" s="569"/>
      <c r="AQ5" s="569"/>
      <c r="AR5" s="569"/>
      <c r="AS5" s="569"/>
      <c r="AT5" s="572"/>
      <c r="AU5" s="569"/>
      <c r="AV5" s="569"/>
      <c r="AW5" s="569"/>
      <c r="AX5" s="569"/>
      <c r="AY5" s="569"/>
      <c r="AZ5" s="569"/>
      <c r="BA5" s="572"/>
      <c r="BB5" s="569"/>
      <c r="BC5" s="183"/>
      <c r="BD5" s="183"/>
      <c r="BE5" s="569"/>
      <c r="BF5" s="569"/>
      <c r="BG5" s="569"/>
      <c r="BH5" s="569"/>
      <c r="BI5" s="569"/>
      <c r="BJ5" s="572"/>
      <c r="BK5" s="569"/>
      <c r="BL5" s="569"/>
      <c r="BM5" s="569"/>
      <c r="BN5" s="569"/>
      <c r="BO5" s="569"/>
      <c r="BP5" s="569"/>
      <c r="BQ5" s="572"/>
      <c r="BR5" s="569"/>
      <c r="BS5" s="569"/>
      <c r="BT5" s="569"/>
      <c r="BU5" s="569"/>
      <c r="BV5" s="569"/>
      <c r="BW5" s="569"/>
    </row>
    <row r="6" spans="2:75" ht="26.4" x14ac:dyDescent="0.55000000000000004">
      <c r="B6" s="4" t="s">
        <v>8</v>
      </c>
      <c r="C6" s="11">
        <f>F64</f>
        <v>6880000</v>
      </c>
      <c r="D6" s="12"/>
      <c r="E6" s="13"/>
      <c r="F6" s="10"/>
      <c r="G6" s="3"/>
      <c r="H6" s="7"/>
      <c r="I6" s="7"/>
      <c r="Z6">
        <v>100</v>
      </c>
      <c r="AA6" s="570"/>
      <c r="AB6" s="570"/>
      <c r="AC6" s="570"/>
      <c r="AD6" s="570"/>
      <c r="AE6" s="570"/>
      <c r="AF6" s="573"/>
      <c r="AG6" s="570"/>
      <c r="AH6" s="570"/>
      <c r="AI6" s="570"/>
      <c r="AJ6" s="570"/>
      <c r="AK6" s="570"/>
      <c r="AL6" s="570"/>
      <c r="AM6" s="573"/>
      <c r="AN6" s="570"/>
      <c r="AO6" s="570"/>
      <c r="AP6" s="570"/>
      <c r="AQ6" s="570"/>
      <c r="AR6" s="570"/>
      <c r="AS6" s="570"/>
      <c r="AT6" s="573"/>
      <c r="AU6" s="570"/>
      <c r="AV6" s="570"/>
      <c r="AW6" s="570"/>
      <c r="AX6" s="570"/>
      <c r="AY6" s="570"/>
      <c r="AZ6" s="570"/>
      <c r="BA6" s="573"/>
      <c r="BB6" s="570"/>
      <c r="BC6" s="184"/>
      <c r="BD6" s="184"/>
      <c r="BE6" s="570"/>
      <c r="BF6" s="570"/>
      <c r="BG6" s="570"/>
      <c r="BH6" s="570"/>
      <c r="BI6" s="570"/>
      <c r="BJ6" s="573"/>
      <c r="BK6" s="570"/>
      <c r="BL6" s="570"/>
      <c r="BM6" s="570"/>
      <c r="BN6" s="570"/>
      <c r="BO6" s="570"/>
      <c r="BP6" s="570"/>
      <c r="BQ6" s="573"/>
      <c r="BR6" s="570"/>
      <c r="BS6" s="570"/>
      <c r="BT6" s="570"/>
      <c r="BU6" s="570"/>
      <c r="BV6" s="570"/>
      <c r="BW6" s="570"/>
    </row>
    <row r="7" spans="2:75" ht="22.2" x14ac:dyDescent="0.55000000000000004">
      <c r="B7" s="15" t="s">
        <v>9</v>
      </c>
      <c r="C7" s="16" t="e">
        <f>(C5-C6)/C5</f>
        <v>#DIV/0!</v>
      </c>
      <c r="D7" s="15" t="s">
        <v>10</v>
      </c>
      <c r="E7" s="17">
        <v>1</v>
      </c>
      <c r="F7" s="18"/>
      <c r="G7" s="18"/>
      <c r="H7" s="18"/>
      <c r="I7" s="18"/>
      <c r="U7" s="178" t="s">
        <v>63</v>
      </c>
      <c r="V7" s="178" t="s">
        <v>129</v>
      </c>
      <c r="W7" s="178" t="s">
        <v>130</v>
      </c>
      <c r="X7" s="181" t="s">
        <v>131</v>
      </c>
      <c r="Y7" s="178" t="s">
        <v>156</v>
      </c>
      <c r="Z7" s="178" t="s">
        <v>157</v>
      </c>
      <c r="AA7" s="188">
        <f>SUM(AA8:AA31)</f>
        <v>4</v>
      </c>
      <c r="AB7" s="188">
        <f t="shared" ref="AB7:BW7" si="0">SUM(AB8:AB31)</f>
        <v>3</v>
      </c>
      <c r="AC7" s="188">
        <f t="shared" si="0"/>
        <v>3</v>
      </c>
      <c r="AD7" s="188">
        <f t="shared" si="0"/>
        <v>3</v>
      </c>
      <c r="AE7" s="188">
        <f t="shared" si="0"/>
        <v>3</v>
      </c>
      <c r="AF7" s="188">
        <f t="shared" si="0"/>
        <v>0</v>
      </c>
      <c r="AG7" s="188">
        <f t="shared" si="0"/>
        <v>11</v>
      </c>
      <c r="AH7" s="188">
        <f t="shared" si="0"/>
        <v>11</v>
      </c>
      <c r="AI7" s="188">
        <f t="shared" si="0"/>
        <v>11</v>
      </c>
      <c r="AJ7" s="188">
        <f t="shared" si="0"/>
        <v>11</v>
      </c>
      <c r="AK7" s="188">
        <f t="shared" si="0"/>
        <v>11</v>
      </c>
      <c r="AL7" s="188">
        <f t="shared" si="0"/>
        <v>11</v>
      </c>
      <c r="AM7" s="188">
        <f t="shared" si="0"/>
        <v>0</v>
      </c>
      <c r="AN7" s="188">
        <f t="shared" si="0"/>
        <v>11</v>
      </c>
      <c r="AO7" s="188">
        <f t="shared" si="0"/>
        <v>11</v>
      </c>
      <c r="AP7" s="188">
        <f t="shared" si="0"/>
        <v>11</v>
      </c>
      <c r="AQ7" s="188">
        <f t="shared" si="0"/>
        <v>11</v>
      </c>
      <c r="AR7" s="188">
        <f t="shared" si="0"/>
        <v>11</v>
      </c>
      <c r="AS7" s="188">
        <f t="shared" si="0"/>
        <v>11</v>
      </c>
      <c r="AT7" s="188">
        <f t="shared" si="0"/>
        <v>0</v>
      </c>
      <c r="AU7" s="188">
        <f t="shared" si="0"/>
        <v>11</v>
      </c>
      <c r="AV7" s="188">
        <f t="shared" si="0"/>
        <v>11</v>
      </c>
      <c r="AW7" s="188">
        <f t="shared" si="0"/>
        <v>0</v>
      </c>
      <c r="AX7" s="188">
        <f t="shared" si="0"/>
        <v>0</v>
      </c>
      <c r="AY7" s="188">
        <f t="shared" si="0"/>
        <v>0</v>
      </c>
      <c r="AZ7" s="188">
        <f t="shared" si="0"/>
        <v>0</v>
      </c>
      <c r="BA7" s="188">
        <f t="shared" si="0"/>
        <v>0</v>
      </c>
      <c r="BB7" s="188">
        <f t="shared" si="0"/>
        <v>0</v>
      </c>
      <c r="BC7" s="188"/>
      <c r="BD7" s="188"/>
      <c r="BE7" s="188">
        <f t="shared" si="0"/>
        <v>0</v>
      </c>
      <c r="BF7" s="188">
        <f t="shared" si="0"/>
        <v>0</v>
      </c>
      <c r="BG7" s="188">
        <f t="shared" si="0"/>
        <v>0</v>
      </c>
      <c r="BH7" s="188">
        <f t="shared" si="0"/>
        <v>0</v>
      </c>
      <c r="BI7" s="188">
        <f t="shared" si="0"/>
        <v>0</v>
      </c>
      <c r="BJ7" s="188">
        <f t="shared" si="0"/>
        <v>0</v>
      </c>
      <c r="BK7" s="188">
        <f t="shared" si="0"/>
        <v>0</v>
      </c>
      <c r="BL7" s="188">
        <f t="shared" si="0"/>
        <v>0</v>
      </c>
      <c r="BM7" s="188">
        <f t="shared" si="0"/>
        <v>0</v>
      </c>
      <c r="BN7" s="188">
        <f t="shared" si="0"/>
        <v>0</v>
      </c>
      <c r="BO7" s="188">
        <f t="shared" si="0"/>
        <v>0</v>
      </c>
      <c r="BP7" s="188">
        <f t="shared" si="0"/>
        <v>0</v>
      </c>
      <c r="BQ7" s="188">
        <f t="shared" si="0"/>
        <v>0</v>
      </c>
      <c r="BR7" s="188">
        <f t="shared" si="0"/>
        <v>0</v>
      </c>
      <c r="BS7" s="188">
        <f t="shared" si="0"/>
        <v>0</v>
      </c>
      <c r="BT7" s="188">
        <f t="shared" si="0"/>
        <v>0</v>
      </c>
      <c r="BU7" s="188">
        <f t="shared" si="0"/>
        <v>0</v>
      </c>
      <c r="BV7" s="188">
        <f t="shared" si="0"/>
        <v>0</v>
      </c>
      <c r="BW7" s="188">
        <f t="shared" si="0"/>
        <v>0</v>
      </c>
    </row>
    <row r="8" spans="2:75" ht="30" customHeight="1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65" t="s">
        <v>16</v>
      </c>
      <c r="J8" s="174" t="s">
        <v>126</v>
      </c>
      <c r="U8" s="179">
        <v>1</v>
      </c>
      <c r="V8" s="180" t="s">
        <v>132</v>
      </c>
      <c r="W8" s="150">
        <v>31500</v>
      </c>
      <c r="X8" s="150">
        <v>1050</v>
      </c>
      <c r="Y8" s="150">
        <v>1400</v>
      </c>
      <c r="Z8" s="150"/>
      <c r="AA8" s="179"/>
      <c r="AB8" s="179"/>
      <c r="AC8" s="179"/>
      <c r="AD8" s="179"/>
      <c r="AE8" s="179"/>
      <c r="AF8" s="179"/>
      <c r="AG8" s="179">
        <v>1</v>
      </c>
      <c r="AH8" s="179">
        <v>1</v>
      </c>
      <c r="AI8" s="179">
        <v>1</v>
      </c>
      <c r="AJ8" s="179">
        <v>1</v>
      </c>
      <c r="AK8" s="179">
        <v>1</v>
      </c>
      <c r="AL8" s="179">
        <v>1</v>
      </c>
      <c r="AM8" s="179"/>
      <c r="AN8" s="179">
        <v>1</v>
      </c>
      <c r="AO8" s="179">
        <v>1</v>
      </c>
      <c r="AP8" s="179">
        <v>1</v>
      </c>
      <c r="AQ8" s="179">
        <v>1</v>
      </c>
      <c r="AR8" s="179">
        <v>1</v>
      </c>
      <c r="AS8" s="179">
        <v>1</v>
      </c>
      <c r="AT8" s="179"/>
      <c r="AU8" s="179">
        <v>1</v>
      </c>
      <c r="AV8" s="179">
        <v>1</v>
      </c>
      <c r="AW8" s="179"/>
      <c r="AX8" s="179"/>
      <c r="AY8" s="179"/>
      <c r="AZ8" s="179"/>
      <c r="BA8" s="179"/>
      <c r="BB8" s="179"/>
      <c r="BC8" s="179">
        <f>SUM(AA8:BB8)</f>
        <v>14</v>
      </c>
      <c r="BD8" s="191">
        <f>(BC8*X8)+Y8+Z8</f>
        <v>16100</v>
      </c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  <c r="BS8" s="179"/>
      <c r="BT8" s="179"/>
      <c r="BU8" s="179"/>
      <c r="BV8" s="179"/>
      <c r="BW8" s="179"/>
    </row>
    <row r="9" spans="2:75" ht="30" customHeight="1" x14ac:dyDescent="0.25">
      <c r="B9" s="22"/>
      <c r="C9" s="23"/>
      <c r="D9" s="23"/>
      <c r="E9" s="23"/>
      <c r="F9" s="23"/>
      <c r="G9" s="24"/>
      <c r="H9" s="25"/>
      <c r="I9" s="166"/>
      <c r="J9" s="175"/>
      <c r="U9" s="179">
        <v>2</v>
      </c>
      <c r="V9" s="175" t="s">
        <v>133</v>
      </c>
      <c r="W9" s="150">
        <v>21300</v>
      </c>
      <c r="X9" s="150">
        <v>710</v>
      </c>
      <c r="Y9" s="150">
        <v>1400</v>
      </c>
      <c r="Z9" s="150">
        <v>2000</v>
      </c>
      <c r="AA9" s="179">
        <v>1</v>
      </c>
      <c r="AB9" s="179"/>
      <c r="AC9" s="179"/>
      <c r="AD9" s="179"/>
      <c r="AE9" s="179"/>
      <c r="AF9" s="179"/>
      <c r="AG9" s="179">
        <v>1</v>
      </c>
      <c r="AH9" s="179">
        <v>1</v>
      </c>
      <c r="AI9" s="179">
        <v>1</v>
      </c>
      <c r="AJ9" s="179">
        <v>1</v>
      </c>
      <c r="AK9" s="179">
        <v>1</v>
      </c>
      <c r="AL9" s="179">
        <v>1</v>
      </c>
      <c r="AM9" s="179"/>
      <c r="AN9" s="179">
        <v>1</v>
      </c>
      <c r="AO9" s="179">
        <v>1</v>
      </c>
      <c r="AP9" s="179">
        <v>1</v>
      </c>
      <c r="AQ9" s="179">
        <v>1</v>
      </c>
      <c r="AR9" s="179">
        <v>1</v>
      </c>
      <c r="AS9" s="179">
        <v>1</v>
      </c>
      <c r="AT9" s="179"/>
      <c r="AU9" s="179">
        <v>1</v>
      </c>
      <c r="AV9" s="179">
        <v>1</v>
      </c>
      <c r="AW9" s="179"/>
      <c r="AX9" s="179"/>
      <c r="AY9" s="179"/>
      <c r="AZ9" s="179"/>
      <c r="BA9" s="179"/>
      <c r="BB9" s="179"/>
      <c r="BC9" s="179">
        <f t="shared" ref="BC9:BC31" si="1">SUM(AA9:BB9)</f>
        <v>15</v>
      </c>
      <c r="BD9" s="191">
        <f t="shared" ref="BD9:BD31" si="2">(BC9*X9)+Y9+Z9</f>
        <v>14050</v>
      </c>
      <c r="BE9" s="179"/>
      <c r="BF9" s="179"/>
      <c r="BG9" s="179"/>
      <c r="BH9" s="179"/>
      <c r="BI9" s="179"/>
      <c r="BJ9" s="179"/>
      <c r="BK9" s="179"/>
      <c r="BL9" s="179"/>
      <c r="BM9" s="179"/>
      <c r="BN9" s="179"/>
      <c r="BO9" s="179"/>
      <c r="BP9" s="179"/>
      <c r="BQ9" s="179"/>
      <c r="BR9" s="179"/>
      <c r="BS9" s="179"/>
      <c r="BT9" s="179"/>
      <c r="BU9" s="179"/>
      <c r="BV9" s="179"/>
      <c r="BW9" s="179"/>
    </row>
    <row r="10" spans="2:75" ht="25.8" x14ac:dyDescent="0.65">
      <c r="B10" s="103">
        <v>1</v>
      </c>
      <c r="C10" s="61" t="s">
        <v>286</v>
      </c>
      <c r="D10" s="64">
        <v>80</v>
      </c>
      <c r="E10" s="61" t="s">
        <v>287</v>
      </c>
      <c r="F10" s="61"/>
      <c r="G10" s="70">
        <v>15000</v>
      </c>
      <c r="H10" s="63" t="s">
        <v>17</v>
      </c>
      <c r="I10" s="167">
        <v>45858</v>
      </c>
      <c r="J10" s="175"/>
      <c r="U10" s="179">
        <v>3</v>
      </c>
      <c r="V10" s="175" t="s">
        <v>134</v>
      </c>
      <c r="W10" s="150">
        <v>18500</v>
      </c>
      <c r="X10" s="150">
        <v>616.66666666666663</v>
      </c>
      <c r="Y10" s="150"/>
      <c r="Z10" s="150">
        <f t="shared" ref="Z10:Z31" si="3">$Z$6*BC11</f>
        <v>1400</v>
      </c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/>
      <c r="AY10" s="179"/>
      <c r="AZ10" s="179"/>
      <c r="BA10" s="179"/>
      <c r="BB10" s="179"/>
      <c r="BC10" s="179">
        <f t="shared" si="1"/>
        <v>0</v>
      </c>
      <c r="BD10" s="191">
        <f t="shared" si="2"/>
        <v>1400</v>
      </c>
      <c r="BE10" s="179"/>
      <c r="BF10" s="179"/>
      <c r="BG10" s="179"/>
      <c r="BH10" s="179"/>
      <c r="BI10" s="179"/>
      <c r="BJ10" s="179"/>
      <c r="BK10" s="179"/>
      <c r="BL10" s="179"/>
      <c r="BM10" s="179"/>
      <c r="BN10" s="179"/>
      <c r="BO10" s="179"/>
      <c r="BP10" s="179"/>
      <c r="BQ10" s="179"/>
      <c r="BR10" s="179"/>
      <c r="BS10" s="179"/>
      <c r="BT10" s="179"/>
      <c r="BU10" s="179"/>
      <c r="BV10" s="179"/>
      <c r="BW10" s="179"/>
    </row>
    <row r="11" spans="2:75" ht="25.8" x14ac:dyDescent="0.65">
      <c r="B11" s="104">
        <v>2</v>
      </c>
      <c r="C11" s="61"/>
      <c r="D11" s="64"/>
      <c r="E11" s="61"/>
      <c r="F11" s="61"/>
      <c r="G11" s="70"/>
      <c r="H11" s="63"/>
      <c r="I11" s="168"/>
      <c r="J11" s="175"/>
      <c r="U11" s="179">
        <v>4</v>
      </c>
      <c r="V11" s="175" t="s">
        <v>135</v>
      </c>
      <c r="W11" s="150">
        <v>15000</v>
      </c>
      <c r="X11" s="150">
        <v>500</v>
      </c>
      <c r="Y11" s="150"/>
      <c r="Z11" s="150">
        <f t="shared" si="3"/>
        <v>1400</v>
      </c>
      <c r="AA11" s="179"/>
      <c r="AB11" s="179"/>
      <c r="AC11" s="179"/>
      <c r="AD11" s="179"/>
      <c r="AE11" s="179"/>
      <c r="AF11" s="179"/>
      <c r="AG11" s="179">
        <v>1</v>
      </c>
      <c r="AH11" s="179">
        <v>1</v>
      </c>
      <c r="AI11" s="179">
        <v>1</v>
      </c>
      <c r="AJ11" s="179">
        <v>1</v>
      </c>
      <c r="AK11" s="179">
        <v>1</v>
      </c>
      <c r="AL11" s="179">
        <v>1</v>
      </c>
      <c r="AM11" s="179"/>
      <c r="AN11" s="179">
        <v>1</v>
      </c>
      <c r="AO11" s="179">
        <v>1</v>
      </c>
      <c r="AP11" s="179">
        <v>1</v>
      </c>
      <c r="AQ11" s="179">
        <v>1</v>
      </c>
      <c r="AR11" s="179">
        <v>1</v>
      </c>
      <c r="AS11" s="179">
        <v>1</v>
      </c>
      <c r="AT11" s="179"/>
      <c r="AU11" s="179">
        <v>1</v>
      </c>
      <c r="AV11" s="179">
        <v>1</v>
      </c>
      <c r="AW11" s="179"/>
      <c r="AX11" s="179"/>
      <c r="AY11" s="179"/>
      <c r="AZ11" s="179"/>
      <c r="BA11" s="179"/>
      <c r="BB11" s="179"/>
      <c r="BC11" s="179">
        <f t="shared" si="1"/>
        <v>14</v>
      </c>
      <c r="BD11" s="191">
        <f t="shared" si="2"/>
        <v>8400</v>
      </c>
      <c r="BE11" s="179"/>
      <c r="BF11" s="179"/>
      <c r="BG11" s="179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9"/>
      <c r="BS11" s="179"/>
      <c r="BT11" s="179"/>
      <c r="BU11" s="179"/>
      <c r="BV11" s="179"/>
      <c r="BW11" s="179"/>
    </row>
    <row r="12" spans="2:75" ht="25.8" x14ac:dyDescent="0.65">
      <c r="B12" s="104">
        <v>3</v>
      </c>
      <c r="C12" s="61"/>
      <c r="D12" s="64"/>
      <c r="E12" s="61"/>
      <c r="F12" s="61"/>
      <c r="G12" s="70"/>
      <c r="H12" s="63"/>
      <c r="I12" s="168"/>
      <c r="J12" s="175"/>
      <c r="U12" s="179">
        <v>5</v>
      </c>
      <c r="V12" s="175" t="s">
        <v>136</v>
      </c>
      <c r="W12" s="150">
        <v>14000</v>
      </c>
      <c r="X12" s="150">
        <v>466.66666666666669</v>
      </c>
      <c r="Y12" s="150"/>
      <c r="Z12" s="150">
        <f t="shared" si="3"/>
        <v>0</v>
      </c>
      <c r="AA12" s="179"/>
      <c r="AB12" s="179"/>
      <c r="AC12" s="179"/>
      <c r="AD12" s="179"/>
      <c r="AE12" s="179"/>
      <c r="AF12" s="179"/>
      <c r="AG12" s="179">
        <v>1</v>
      </c>
      <c r="AH12" s="179">
        <v>1</v>
      </c>
      <c r="AI12" s="179">
        <v>1</v>
      </c>
      <c r="AJ12" s="179">
        <v>1</v>
      </c>
      <c r="AK12" s="179">
        <v>1</v>
      </c>
      <c r="AL12" s="179">
        <v>1</v>
      </c>
      <c r="AM12" s="179"/>
      <c r="AN12" s="179">
        <v>1</v>
      </c>
      <c r="AO12" s="179">
        <v>1</v>
      </c>
      <c r="AP12" s="179">
        <v>1</v>
      </c>
      <c r="AQ12" s="179">
        <v>1</v>
      </c>
      <c r="AR12" s="179">
        <v>1</v>
      </c>
      <c r="AS12" s="179">
        <v>1</v>
      </c>
      <c r="AT12" s="179"/>
      <c r="AU12" s="179">
        <v>1</v>
      </c>
      <c r="AV12" s="179">
        <v>1</v>
      </c>
      <c r="AW12" s="179"/>
      <c r="AX12" s="179"/>
      <c r="AY12" s="179"/>
      <c r="AZ12" s="179"/>
      <c r="BA12" s="179"/>
      <c r="BB12" s="179"/>
      <c r="BC12" s="179">
        <f t="shared" si="1"/>
        <v>14</v>
      </c>
      <c r="BD12" s="191">
        <f t="shared" si="2"/>
        <v>6533.3333333333339</v>
      </c>
      <c r="BE12" s="179"/>
      <c r="BF12" s="179"/>
      <c r="BG12" s="179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</row>
    <row r="13" spans="2:75" ht="25.8" x14ac:dyDescent="0.65">
      <c r="B13" s="104">
        <v>4</v>
      </c>
      <c r="C13" s="61"/>
      <c r="D13" s="64"/>
      <c r="E13" s="61"/>
      <c r="F13" s="61"/>
      <c r="G13" s="70"/>
      <c r="H13" s="63"/>
      <c r="I13" s="168"/>
      <c r="J13" s="175"/>
      <c r="U13" s="179">
        <v>6</v>
      </c>
      <c r="V13" s="175" t="s">
        <v>137</v>
      </c>
      <c r="W13" s="150">
        <v>14000</v>
      </c>
      <c r="X13" s="150">
        <v>466.66666666666669</v>
      </c>
      <c r="Y13" s="150"/>
      <c r="Z13" s="150">
        <f t="shared" si="3"/>
        <v>0</v>
      </c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79">
        <f t="shared" si="1"/>
        <v>0</v>
      </c>
      <c r="BD13" s="191">
        <f t="shared" si="2"/>
        <v>0</v>
      </c>
      <c r="BE13" s="179"/>
      <c r="BF13" s="179"/>
      <c r="BG13" s="179"/>
      <c r="BH13" s="179"/>
      <c r="BI13" s="179"/>
      <c r="BJ13" s="179"/>
      <c r="BK13" s="179"/>
      <c r="BL13" s="179"/>
      <c r="BM13" s="179"/>
      <c r="BN13" s="179"/>
      <c r="BO13" s="179"/>
      <c r="BP13" s="179"/>
      <c r="BQ13" s="179"/>
      <c r="BR13" s="179"/>
      <c r="BS13" s="179"/>
      <c r="BT13" s="179"/>
      <c r="BU13" s="179"/>
      <c r="BV13" s="179"/>
      <c r="BW13" s="179"/>
    </row>
    <row r="14" spans="2:75" ht="25.8" x14ac:dyDescent="0.65">
      <c r="B14" s="104">
        <v>5</v>
      </c>
      <c r="C14" s="61"/>
      <c r="D14" s="64"/>
      <c r="E14" s="61"/>
      <c r="F14" s="61"/>
      <c r="G14" s="70"/>
      <c r="H14" s="63"/>
      <c r="I14" s="168"/>
      <c r="J14" s="175"/>
      <c r="U14" s="179">
        <v>78</v>
      </c>
      <c r="V14" s="175" t="s">
        <v>138</v>
      </c>
      <c r="W14" s="150">
        <v>13000</v>
      </c>
      <c r="X14" s="150">
        <v>433.33333333333331</v>
      </c>
      <c r="Y14" s="150"/>
      <c r="Z14" s="150">
        <f t="shared" si="3"/>
        <v>0</v>
      </c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>
        <f t="shared" si="1"/>
        <v>0</v>
      </c>
      <c r="BD14" s="191">
        <f t="shared" si="2"/>
        <v>0</v>
      </c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</row>
    <row r="15" spans="2:75" ht="26.4" customHeight="1" x14ac:dyDescent="0.65">
      <c r="B15" s="104">
        <v>6</v>
      </c>
      <c r="C15" s="159"/>
      <c r="D15" s="64"/>
      <c r="E15" s="61"/>
      <c r="F15" s="101"/>
      <c r="G15" s="70"/>
      <c r="H15" s="63"/>
      <c r="I15" s="168"/>
      <c r="J15" s="175"/>
      <c r="U15" s="179">
        <v>8</v>
      </c>
      <c r="V15" s="175" t="s">
        <v>139</v>
      </c>
      <c r="W15" s="150">
        <v>14000</v>
      </c>
      <c r="X15" s="150">
        <v>466.66666666666669</v>
      </c>
      <c r="Y15" s="150"/>
      <c r="Z15" s="150">
        <f t="shared" si="3"/>
        <v>0</v>
      </c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>
        <f t="shared" si="1"/>
        <v>0</v>
      </c>
      <c r="BD15" s="191">
        <f t="shared" si="2"/>
        <v>0</v>
      </c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</row>
    <row r="16" spans="2:75" ht="25.8" x14ac:dyDescent="0.65">
      <c r="B16" s="104">
        <v>7</v>
      </c>
      <c r="C16" s="60"/>
      <c r="D16" s="64"/>
      <c r="E16" s="60"/>
      <c r="F16" s="60"/>
      <c r="G16" s="62"/>
      <c r="H16" s="63"/>
      <c r="I16" s="168"/>
      <c r="J16" s="175"/>
      <c r="U16" s="179">
        <v>9</v>
      </c>
      <c r="V16" s="175" t="s">
        <v>140</v>
      </c>
      <c r="W16" s="150">
        <v>50000</v>
      </c>
      <c r="X16" s="150">
        <v>1666.6666666666667</v>
      </c>
      <c r="Y16" s="150"/>
      <c r="Z16" s="150">
        <f t="shared" si="3"/>
        <v>1400</v>
      </c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>
        <f t="shared" si="1"/>
        <v>0</v>
      </c>
      <c r="BD16" s="191">
        <f t="shared" si="2"/>
        <v>1400</v>
      </c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</row>
    <row r="17" spans="2:75" ht="25.8" x14ac:dyDescent="0.65">
      <c r="B17" s="104">
        <v>8</v>
      </c>
      <c r="C17" s="61"/>
      <c r="D17" s="64"/>
      <c r="E17" s="61"/>
      <c r="F17" s="61"/>
      <c r="G17" s="70"/>
      <c r="H17" s="63"/>
      <c r="I17" s="168"/>
      <c r="J17" s="175"/>
      <c r="U17" s="179">
        <v>10</v>
      </c>
      <c r="V17" s="175" t="s">
        <v>141</v>
      </c>
      <c r="W17" s="150">
        <v>17000</v>
      </c>
      <c r="X17" s="150">
        <v>566.66666666666663</v>
      </c>
      <c r="Y17" s="150"/>
      <c r="Z17" s="150">
        <f t="shared" si="3"/>
        <v>0</v>
      </c>
      <c r="AA17" s="179"/>
      <c r="AB17" s="179"/>
      <c r="AC17" s="179"/>
      <c r="AD17" s="179"/>
      <c r="AE17" s="179"/>
      <c r="AF17" s="179"/>
      <c r="AG17" s="179">
        <v>1</v>
      </c>
      <c r="AH17" s="179">
        <v>1</v>
      </c>
      <c r="AI17" s="179">
        <v>1</v>
      </c>
      <c r="AJ17" s="179">
        <v>1</v>
      </c>
      <c r="AK17" s="179">
        <v>1</v>
      </c>
      <c r="AL17" s="179">
        <v>1</v>
      </c>
      <c r="AM17" s="179"/>
      <c r="AN17" s="179">
        <v>1</v>
      </c>
      <c r="AO17" s="179">
        <v>1</v>
      </c>
      <c r="AP17" s="179">
        <v>1</v>
      </c>
      <c r="AQ17" s="179">
        <v>1</v>
      </c>
      <c r="AR17" s="179">
        <v>1</v>
      </c>
      <c r="AS17" s="179">
        <v>1</v>
      </c>
      <c r="AT17" s="179"/>
      <c r="AU17" s="179">
        <v>1</v>
      </c>
      <c r="AV17" s="179">
        <v>1</v>
      </c>
      <c r="AW17" s="179"/>
      <c r="AX17" s="179"/>
      <c r="AY17" s="179"/>
      <c r="AZ17" s="179"/>
      <c r="BA17" s="179"/>
      <c r="BB17" s="179"/>
      <c r="BC17" s="179">
        <f t="shared" si="1"/>
        <v>14</v>
      </c>
      <c r="BD17" s="191">
        <f t="shared" si="2"/>
        <v>7933.333333333333</v>
      </c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</row>
    <row r="18" spans="2:75" ht="25.8" x14ac:dyDescent="0.65">
      <c r="B18" s="104">
        <v>9</v>
      </c>
      <c r="C18" s="61"/>
      <c r="D18" s="64"/>
      <c r="E18" s="61"/>
      <c r="F18" s="61"/>
      <c r="G18" s="102"/>
      <c r="H18" s="63"/>
      <c r="I18" s="168"/>
      <c r="J18" s="175"/>
      <c r="U18" s="179">
        <v>11</v>
      </c>
      <c r="V18" s="175" t="s">
        <v>142</v>
      </c>
      <c r="W18" s="150">
        <v>20000</v>
      </c>
      <c r="X18" s="150">
        <v>666.66666666666663</v>
      </c>
      <c r="Y18" s="150"/>
      <c r="Z18" s="150">
        <f t="shared" si="3"/>
        <v>1400</v>
      </c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>
        <f t="shared" si="1"/>
        <v>0</v>
      </c>
      <c r="BD18" s="191">
        <f t="shared" si="2"/>
        <v>1400</v>
      </c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</row>
    <row r="19" spans="2:75" ht="25.8" x14ac:dyDescent="0.65">
      <c r="B19" s="104">
        <v>10</v>
      </c>
      <c r="C19" s="61"/>
      <c r="D19" s="64"/>
      <c r="E19" s="61"/>
      <c r="F19" s="61"/>
      <c r="G19" s="70"/>
      <c r="H19" s="63"/>
      <c r="I19" s="168"/>
      <c r="J19" s="175"/>
      <c r="U19" s="179">
        <v>12</v>
      </c>
      <c r="V19" s="175" t="s">
        <v>143</v>
      </c>
      <c r="W19" s="150">
        <v>4950</v>
      </c>
      <c r="X19" s="150">
        <v>450</v>
      </c>
      <c r="Y19" s="150"/>
      <c r="Z19" s="150">
        <f t="shared" si="3"/>
        <v>0</v>
      </c>
      <c r="AA19" s="179"/>
      <c r="AB19" s="179"/>
      <c r="AC19" s="179"/>
      <c r="AD19" s="179"/>
      <c r="AE19" s="179"/>
      <c r="AF19" s="179"/>
      <c r="AG19" s="179">
        <v>1</v>
      </c>
      <c r="AH19" s="179">
        <v>1</v>
      </c>
      <c r="AI19" s="179">
        <v>1</v>
      </c>
      <c r="AJ19" s="179">
        <v>1</v>
      </c>
      <c r="AK19" s="179">
        <v>1</v>
      </c>
      <c r="AL19" s="179">
        <v>1</v>
      </c>
      <c r="AM19" s="179"/>
      <c r="AN19" s="179">
        <v>1</v>
      </c>
      <c r="AO19" s="179">
        <v>1</v>
      </c>
      <c r="AP19" s="179">
        <v>1</v>
      </c>
      <c r="AQ19" s="179">
        <v>1</v>
      </c>
      <c r="AR19" s="179">
        <v>1</v>
      </c>
      <c r="AS19" s="179">
        <v>1</v>
      </c>
      <c r="AT19" s="179"/>
      <c r="AU19" s="179">
        <v>1</v>
      </c>
      <c r="AV19" s="179">
        <v>1</v>
      </c>
      <c r="AW19" s="179"/>
      <c r="AX19" s="179"/>
      <c r="AY19" s="179"/>
      <c r="AZ19" s="179"/>
      <c r="BA19" s="179"/>
      <c r="BB19" s="179"/>
      <c r="BC19" s="179">
        <f t="shared" si="1"/>
        <v>14</v>
      </c>
      <c r="BD19" s="191">
        <f t="shared" si="2"/>
        <v>6300</v>
      </c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79"/>
    </row>
    <row r="20" spans="2:75" ht="25.8" x14ac:dyDescent="0.65">
      <c r="B20" s="104">
        <v>11</v>
      </c>
      <c r="C20" s="61"/>
      <c r="D20" s="64"/>
      <c r="E20" s="61"/>
      <c r="F20" s="61"/>
      <c r="G20" s="70"/>
      <c r="H20" s="63"/>
      <c r="I20" s="168"/>
      <c r="J20" s="175"/>
      <c r="U20" s="179">
        <v>13</v>
      </c>
      <c r="V20" s="189" t="s">
        <v>144</v>
      </c>
      <c r="W20" s="190">
        <v>3300</v>
      </c>
      <c r="X20" s="190">
        <v>300</v>
      </c>
      <c r="Y20" s="150"/>
      <c r="Z20" s="150">
        <f t="shared" si="3"/>
        <v>0</v>
      </c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79"/>
      <c r="BA20" s="179"/>
      <c r="BB20" s="179"/>
      <c r="BC20" s="179">
        <f t="shared" si="1"/>
        <v>0</v>
      </c>
      <c r="BD20" s="191">
        <f t="shared" si="2"/>
        <v>0</v>
      </c>
      <c r="BE20" s="179"/>
      <c r="BF20" s="179"/>
      <c r="BG20" s="179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</row>
    <row r="21" spans="2:75" ht="25.8" x14ac:dyDescent="0.65">
      <c r="B21" s="104">
        <v>12</v>
      </c>
      <c r="C21" s="61"/>
      <c r="D21" s="64"/>
      <c r="E21" s="61"/>
      <c r="F21" s="61"/>
      <c r="G21" s="70"/>
      <c r="H21" s="63"/>
      <c r="I21" s="168"/>
      <c r="J21" s="175"/>
      <c r="U21" s="179">
        <v>14</v>
      </c>
      <c r="V21" s="189" t="s">
        <v>145</v>
      </c>
      <c r="W21" s="190">
        <v>3300</v>
      </c>
      <c r="X21" s="190">
        <v>300</v>
      </c>
      <c r="Y21" s="150"/>
      <c r="Z21" s="150">
        <f t="shared" si="3"/>
        <v>0</v>
      </c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>
        <f t="shared" si="1"/>
        <v>0</v>
      </c>
      <c r="BD21" s="191">
        <f t="shared" si="2"/>
        <v>0</v>
      </c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</row>
    <row r="22" spans="2:75" ht="25.8" x14ac:dyDescent="0.65">
      <c r="B22" s="104">
        <v>13</v>
      </c>
      <c r="C22" s="61"/>
      <c r="D22" s="64"/>
      <c r="E22" s="61"/>
      <c r="F22" s="61"/>
      <c r="G22" s="70"/>
      <c r="H22" s="63"/>
      <c r="I22" s="168"/>
      <c r="J22" s="175"/>
      <c r="U22" s="179">
        <v>15</v>
      </c>
      <c r="V22" s="189" t="s">
        <v>146</v>
      </c>
      <c r="W22" s="190">
        <v>3300</v>
      </c>
      <c r="X22" s="190">
        <v>300</v>
      </c>
      <c r="Y22" s="150"/>
      <c r="Z22" s="150">
        <f t="shared" si="3"/>
        <v>0</v>
      </c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>
        <f t="shared" si="1"/>
        <v>0</v>
      </c>
      <c r="BD22" s="191">
        <f t="shared" si="2"/>
        <v>0</v>
      </c>
      <c r="BE22" s="179"/>
      <c r="BF22" s="179"/>
      <c r="BG22" s="179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79"/>
    </row>
    <row r="23" spans="2:75" ht="25.8" x14ac:dyDescent="0.65">
      <c r="B23" s="104">
        <v>14</v>
      </c>
      <c r="C23" s="61"/>
      <c r="D23" s="64"/>
      <c r="E23" s="61"/>
      <c r="F23" s="61"/>
      <c r="G23" s="70"/>
      <c r="H23" s="63"/>
      <c r="I23" s="168"/>
      <c r="J23" s="175"/>
      <c r="U23" s="179">
        <v>16</v>
      </c>
      <c r="V23" s="189" t="s">
        <v>147</v>
      </c>
      <c r="W23" s="190">
        <v>3300</v>
      </c>
      <c r="X23" s="190">
        <v>300</v>
      </c>
      <c r="Y23" s="150"/>
      <c r="Z23" s="150">
        <f t="shared" si="3"/>
        <v>1900</v>
      </c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9"/>
      <c r="BB23" s="179"/>
      <c r="BC23" s="179">
        <f t="shared" si="1"/>
        <v>0</v>
      </c>
      <c r="BD23" s="191">
        <f t="shared" si="2"/>
        <v>1900</v>
      </c>
      <c r="BE23" s="179"/>
      <c r="BF23" s="179"/>
      <c r="BG23" s="179"/>
      <c r="BH23" s="179"/>
      <c r="BI23" s="179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79"/>
    </row>
    <row r="24" spans="2:75" ht="25.8" x14ac:dyDescent="0.65">
      <c r="B24" s="193">
        <v>15</v>
      </c>
      <c r="C24" s="61"/>
      <c r="D24" s="64"/>
      <c r="E24" s="61"/>
      <c r="F24" s="61"/>
      <c r="G24" s="70"/>
      <c r="H24" s="63"/>
      <c r="I24" s="168"/>
      <c r="J24" s="175"/>
      <c r="U24" s="179">
        <v>17</v>
      </c>
      <c r="V24" s="175" t="s">
        <v>148</v>
      </c>
      <c r="W24" s="150">
        <v>2700</v>
      </c>
      <c r="X24" s="150">
        <v>300</v>
      </c>
      <c r="Y24" s="150"/>
      <c r="Z24" s="150">
        <f t="shared" si="3"/>
        <v>1900</v>
      </c>
      <c r="AA24" s="179">
        <v>1</v>
      </c>
      <c r="AB24" s="179">
        <v>1</v>
      </c>
      <c r="AC24" s="179">
        <v>1</v>
      </c>
      <c r="AD24" s="179">
        <v>1</v>
      </c>
      <c r="AE24" s="179">
        <v>1</v>
      </c>
      <c r="AF24" s="179"/>
      <c r="AG24" s="179">
        <v>1</v>
      </c>
      <c r="AH24" s="179">
        <v>1</v>
      </c>
      <c r="AI24" s="179">
        <v>1</v>
      </c>
      <c r="AJ24" s="179">
        <v>1</v>
      </c>
      <c r="AK24" s="179">
        <v>1</v>
      </c>
      <c r="AL24" s="179">
        <v>1</v>
      </c>
      <c r="AM24" s="179"/>
      <c r="AN24" s="179">
        <v>1</v>
      </c>
      <c r="AO24" s="179">
        <v>1</v>
      </c>
      <c r="AP24" s="179">
        <v>1</v>
      </c>
      <c r="AQ24" s="179">
        <v>1</v>
      </c>
      <c r="AR24" s="179">
        <v>1</v>
      </c>
      <c r="AS24" s="179">
        <v>1</v>
      </c>
      <c r="AT24" s="179"/>
      <c r="AU24" s="179">
        <v>1</v>
      </c>
      <c r="AV24" s="179">
        <v>1</v>
      </c>
      <c r="AW24" s="179"/>
      <c r="AX24" s="179"/>
      <c r="AY24" s="179"/>
      <c r="AZ24" s="179"/>
      <c r="BA24" s="179"/>
      <c r="BB24" s="179"/>
      <c r="BC24" s="179">
        <f t="shared" si="1"/>
        <v>19</v>
      </c>
      <c r="BD24" s="191">
        <f t="shared" si="2"/>
        <v>7600</v>
      </c>
      <c r="BE24" s="179"/>
      <c r="BF24" s="179"/>
      <c r="BG24" s="179"/>
      <c r="BH24" s="179"/>
      <c r="BI24" s="179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79"/>
    </row>
    <row r="25" spans="2:75" ht="25.8" x14ac:dyDescent="0.65">
      <c r="B25" s="104">
        <v>16</v>
      </c>
      <c r="C25" s="61"/>
      <c r="D25" s="64"/>
      <c r="E25" s="61"/>
      <c r="F25" s="61"/>
      <c r="G25" s="70"/>
      <c r="H25" s="161"/>
      <c r="I25" s="168"/>
      <c r="J25" s="175"/>
      <c r="U25" s="179">
        <v>18</v>
      </c>
      <c r="V25" s="175" t="s">
        <v>149</v>
      </c>
      <c r="W25" s="150">
        <v>2200</v>
      </c>
      <c r="X25" s="150">
        <v>200</v>
      </c>
      <c r="Y25" s="150"/>
      <c r="Z25" s="150">
        <f t="shared" si="3"/>
        <v>1900</v>
      </c>
      <c r="AA25" s="179">
        <v>1</v>
      </c>
      <c r="AB25" s="179">
        <v>1</v>
      </c>
      <c r="AC25" s="179">
        <v>1</v>
      </c>
      <c r="AD25" s="179">
        <v>1</v>
      </c>
      <c r="AE25" s="179">
        <v>1</v>
      </c>
      <c r="AF25" s="179"/>
      <c r="AG25" s="179">
        <v>1</v>
      </c>
      <c r="AH25" s="179">
        <v>1</v>
      </c>
      <c r="AI25" s="179">
        <v>1</v>
      </c>
      <c r="AJ25" s="179">
        <v>1</v>
      </c>
      <c r="AK25" s="179">
        <v>1</v>
      </c>
      <c r="AL25" s="179">
        <v>1</v>
      </c>
      <c r="AM25" s="179"/>
      <c r="AN25" s="179">
        <v>1</v>
      </c>
      <c r="AO25" s="179">
        <v>1</v>
      </c>
      <c r="AP25" s="179">
        <v>1</v>
      </c>
      <c r="AQ25" s="179">
        <v>1</v>
      </c>
      <c r="AR25" s="179">
        <v>1</v>
      </c>
      <c r="AS25" s="179">
        <v>1</v>
      </c>
      <c r="AT25" s="179"/>
      <c r="AU25" s="179">
        <v>1</v>
      </c>
      <c r="AV25" s="179">
        <v>1</v>
      </c>
      <c r="AW25" s="179"/>
      <c r="AX25" s="179"/>
      <c r="AY25" s="179"/>
      <c r="AZ25" s="179"/>
      <c r="BA25" s="179"/>
      <c r="BB25" s="179"/>
      <c r="BC25" s="179">
        <f t="shared" si="1"/>
        <v>19</v>
      </c>
      <c r="BD25" s="191">
        <f t="shared" si="2"/>
        <v>5700</v>
      </c>
      <c r="BE25" s="179"/>
      <c r="BF25" s="179"/>
      <c r="BG25" s="179"/>
      <c r="BH25" s="179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79"/>
    </row>
    <row r="26" spans="2:75" ht="25.8" x14ac:dyDescent="0.65">
      <c r="B26" s="104">
        <v>17</v>
      </c>
      <c r="C26" s="61"/>
      <c r="D26" s="64"/>
      <c r="E26" s="61"/>
      <c r="F26" s="61"/>
      <c r="G26" s="70"/>
      <c r="H26" s="161"/>
      <c r="I26" s="168"/>
      <c r="J26" s="175"/>
      <c r="U26" s="179">
        <v>19</v>
      </c>
      <c r="V26" s="175" t="s">
        <v>150</v>
      </c>
      <c r="W26" s="150">
        <v>1440</v>
      </c>
      <c r="X26" s="150">
        <v>180</v>
      </c>
      <c r="Y26" s="150"/>
      <c r="Z26" s="150">
        <f t="shared" si="3"/>
        <v>0</v>
      </c>
      <c r="AA26" s="179">
        <v>1</v>
      </c>
      <c r="AB26" s="179">
        <v>1</v>
      </c>
      <c r="AC26" s="179">
        <v>1</v>
      </c>
      <c r="AD26" s="179">
        <v>1</v>
      </c>
      <c r="AE26" s="179">
        <v>1</v>
      </c>
      <c r="AF26" s="179"/>
      <c r="AG26" s="179">
        <v>1</v>
      </c>
      <c r="AH26" s="179">
        <v>1</v>
      </c>
      <c r="AI26" s="179">
        <v>1</v>
      </c>
      <c r="AJ26" s="179">
        <v>1</v>
      </c>
      <c r="AK26" s="179">
        <v>1</v>
      </c>
      <c r="AL26" s="179">
        <v>1</v>
      </c>
      <c r="AM26" s="179"/>
      <c r="AN26" s="179">
        <v>1</v>
      </c>
      <c r="AO26" s="179">
        <v>1</v>
      </c>
      <c r="AP26" s="179">
        <v>1</v>
      </c>
      <c r="AQ26" s="179">
        <v>1</v>
      </c>
      <c r="AR26" s="179">
        <v>1</v>
      </c>
      <c r="AS26" s="179">
        <v>1</v>
      </c>
      <c r="AT26" s="179"/>
      <c r="AU26" s="179">
        <v>1</v>
      </c>
      <c r="AV26" s="179">
        <v>1</v>
      </c>
      <c r="AW26" s="179"/>
      <c r="AX26" s="179"/>
      <c r="AY26" s="179"/>
      <c r="AZ26" s="179"/>
      <c r="BA26" s="179"/>
      <c r="BB26" s="179"/>
      <c r="BC26" s="179">
        <f t="shared" si="1"/>
        <v>19</v>
      </c>
      <c r="BD26" s="191">
        <f t="shared" si="2"/>
        <v>3420</v>
      </c>
      <c r="BE26" s="179"/>
      <c r="BF26" s="179"/>
      <c r="BG26" s="179"/>
      <c r="BH26" s="179"/>
      <c r="BI26" s="179"/>
      <c r="BJ26" s="179"/>
      <c r="BK26" s="179"/>
      <c r="BL26" s="179"/>
      <c r="BM26" s="179"/>
      <c r="BN26" s="179"/>
      <c r="BO26" s="179"/>
      <c r="BP26" s="179"/>
      <c r="BQ26" s="179"/>
      <c r="BR26" s="179"/>
      <c r="BS26" s="179"/>
      <c r="BT26" s="179"/>
      <c r="BU26" s="179"/>
      <c r="BV26" s="179"/>
      <c r="BW26" s="179"/>
    </row>
    <row r="27" spans="2:75" ht="25.8" x14ac:dyDescent="0.65">
      <c r="B27" s="104">
        <v>18</v>
      </c>
      <c r="C27" s="61"/>
      <c r="D27" s="64"/>
      <c r="E27" s="61"/>
      <c r="F27" s="61"/>
      <c r="G27" s="70"/>
      <c r="H27" s="63"/>
      <c r="I27" s="168"/>
      <c r="J27" s="175"/>
      <c r="U27" s="179">
        <v>20</v>
      </c>
      <c r="V27" s="175" t="s">
        <v>151</v>
      </c>
      <c r="W27" s="150">
        <v>2160</v>
      </c>
      <c r="X27" s="150">
        <v>180</v>
      </c>
      <c r="Y27" s="150"/>
      <c r="Z27" s="150">
        <f t="shared" si="3"/>
        <v>1400</v>
      </c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>
        <f t="shared" si="1"/>
        <v>0</v>
      </c>
      <c r="BD27" s="191">
        <f t="shared" si="2"/>
        <v>1400</v>
      </c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</row>
    <row r="28" spans="2:75" ht="25.8" x14ac:dyDescent="0.65">
      <c r="B28" s="104">
        <v>19</v>
      </c>
      <c r="C28" s="61"/>
      <c r="D28" s="64"/>
      <c r="E28" s="61"/>
      <c r="F28" s="61"/>
      <c r="G28" s="70"/>
      <c r="H28" s="163"/>
      <c r="I28" s="168"/>
      <c r="J28" s="175"/>
      <c r="U28" s="179">
        <v>21</v>
      </c>
      <c r="V28" s="175" t="s">
        <v>152</v>
      </c>
      <c r="W28" s="150">
        <v>1980</v>
      </c>
      <c r="X28" s="150">
        <v>180</v>
      </c>
      <c r="Y28" s="150"/>
      <c r="Z28" s="150">
        <f t="shared" si="3"/>
        <v>0</v>
      </c>
      <c r="AA28" s="179"/>
      <c r="AB28" s="179"/>
      <c r="AC28" s="179"/>
      <c r="AD28" s="179"/>
      <c r="AE28" s="179"/>
      <c r="AF28" s="179"/>
      <c r="AG28" s="179">
        <v>1</v>
      </c>
      <c r="AH28" s="179">
        <v>1</v>
      </c>
      <c r="AI28" s="179">
        <v>1</v>
      </c>
      <c r="AJ28" s="179">
        <v>1</v>
      </c>
      <c r="AK28" s="179">
        <v>1</v>
      </c>
      <c r="AL28" s="179">
        <v>1</v>
      </c>
      <c r="AM28" s="179"/>
      <c r="AN28" s="179">
        <v>1</v>
      </c>
      <c r="AO28" s="179">
        <v>1</v>
      </c>
      <c r="AP28" s="179">
        <v>1</v>
      </c>
      <c r="AQ28" s="179">
        <v>1</v>
      </c>
      <c r="AR28" s="179">
        <v>1</v>
      </c>
      <c r="AS28" s="179">
        <v>1</v>
      </c>
      <c r="AT28" s="179"/>
      <c r="AU28" s="179">
        <v>1</v>
      </c>
      <c r="AV28" s="179">
        <v>1</v>
      </c>
      <c r="AW28" s="179"/>
      <c r="AX28" s="179"/>
      <c r="AY28" s="179"/>
      <c r="AZ28" s="179"/>
      <c r="BA28" s="179"/>
      <c r="BB28" s="179"/>
      <c r="BC28" s="179">
        <f t="shared" si="1"/>
        <v>14</v>
      </c>
      <c r="BD28" s="191">
        <f t="shared" si="2"/>
        <v>2520</v>
      </c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79"/>
    </row>
    <row r="29" spans="2:75" ht="25.8" x14ac:dyDescent="0.65">
      <c r="B29" s="104">
        <v>20</v>
      </c>
      <c r="C29" s="61"/>
      <c r="D29" s="64"/>
      <c r="E29" s="61"/>
      <c r="F29" s="61"/>
      <c r="G29" s="70"/>
      <c r="H29" s="163"/>
      <c r="I29" s="168"/>
      <c r="J29" s="175"/>
      <c r="U29" s="179">
        <v>22</v>
      </c>
      <c r="V29" s="175" t="s">
        <v>153</v>
      </c>
      <c r="W29" s="150">
        <v>1440</v>
      </c>
      <c r="X29" s="150">
        <v>180</v>
      </c>
      <c r="Y29" s="150"/>
      <c r="Z29" s="150">
        <f t="shared" si="3"/>
        <v>0</v>
      </c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>
        <f t="shared" si="1"/>
        <v>0</v>
      </c>
      <c r="BD29" s="191">
        <f t="shared" si="2"/>
        <v>0</v>
      </c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79"/>
    </row>
    <row r="30" spans="2:75" ht="25.8" x14ac:dyDescent="0.65">
      <c r="B30" s="104">
        <v>21</v>
      </c>
      <c r="C30" s="61"/>
      <c r="D30" s="64"/>
      <c r="E30" s="61"/>
      <c r="F30" s="61"/>
      <c r="G30" s="70"/>
      <c r="H30" s="163"/>
      <c r="I30" s="168"/>
      <c r="J30" s="175"/>
      <c r="U30" s="179">
        <v>23</v>
      </c>
      <c r="V30" s="175" t="s">
        <v>154</v>
      </c>
      <c r="W30" s="150">
        <v>2160</v>
      </c>
      <c r="X30" s="150">
        <v>180</v>
      </c>
      <c r="Y30" s="150"/>
      <c r="Z30" s="150">
        <f t="shared" si="3"/>
        <v>1400</v>
      </c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>
        <f t="shared" si="1"/>
        <v>0</v>
      </c>
      <c r="BD30" s="191">
        <f t="shared" si="2"/>
        <v>1400</v>
      </c>
      <c r="BE30" s="179"/>
      <c r="BF30" s="179"/>
      <c r="BG30" s="179"/>
      <c r="BH30" s="179"/>
      <c r="BI30" s="179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</row>
    <row r="31" spans="2:75" ht="25.8" x14ac:dyDescent="0.65">
      <c r="B31" s="104">
        <v>22</v>
      </c>
      <c r="C31" s="61"/>
      <c r="D31" s="64"/>
      <c r="E31" s="61"/>
      <c r="F31" s="61"/>
      <c r="G31" s="70"/>
      <c r="H31" s="163"/>
      <c r="I31" s="168"/>
      <c r="J31" s="175"/>
      <c r="U31" s="179">
        <v>24</v>
      </c>
      <c r="V31" s="175" t="s">
        <v>155</v>
      </c>
      <c r="W31" s="150">
        <v>1980</v>
      </c>
      <c r="X31" s="150">
        <v>180</v>
      </c>
      <c r="Y31" s="150"/>
      <c r="Z31" s="150">
        <f t="shared" si="3"/>
        <v>0</v>
      </c>
      <c r="AA31" s="179"/>
      <c r="AB31" s="179"/>
      <c r="AC31" s="179"/>
      <c r="AD31" s="179"/>
      <c r="AE31" s="179"/>
      <c r="AF31" s="179"/>
      <c r="AG31" s="179">
        <v>1</v>
      </c>
      <c r="AH31" s="179">
        <v>1</v>
      </c>
      <c r="AI31" s="179">
        <v>1</v>
      </c>
      <c r="AJ31" s="179">
        <v>1</v>
      </c>
      <c r="AK31" s="179">
        <v>1</v>
      </c>
      <c r="AL31" s="179">
        <v>1</v>
      </c>
      <c r="AM31" s="179"/>
      <c r="AN31" s="179">
        <v>1</v>
      </c>
      <c r="AO31" s="179">
        <v>1</v>
      </c>
      <c r="AP31" s="179">
        <v>1</v>
      </c>
      <c r="AQ31" s="179">
        <v>1</v>
      </c>
      <c r="AR31" s="179">
        <v>1</v>
      </c>
      <c r="AS31" s="179">
        <v>1</v>
      </c>
      <c r="AT31" s="179"/>
      <c r="AU31" s="179">
        <v>1</v>
      </c>
      <c r="AV31" s="179">
        <v>1</v>
      </c>
      <c r="AW31" s="179"/>
      <c r="AX31" s="179"/>
      <c r="AY31" s="179"/>
      <c r="AZ31" s="179"/>
      <c r="BA31" s="179"/>
      <c r="BB31" s="179"/>
      <c r="BC31" s="179">
        <f t="shared" si="1"/>
        <v>14</v>
      </c>
      <c r="BD31" s="191">
        <f t="shared" si="2"/>
        <v>2520</v>
      </c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</row>
    <row r="32" spans="2:75" ht="26.4" thickBot="1" x14ac:dyDescent="0.7">
      <c r="B32" s="104">
        <v>23</v>
      </c>
      <c r="C32" s="61"/>
      <c r="D32" s="64"/>
      <c r="E32" s="61"/>
      <c r="F32" s="61"/>
      <c r="G32" s="70"/>
      <c r="H32" s="163"/>
      <c r="I32" s="168"/>
      <c r="J32" s="175"/>
      <c r="BD32" s="192">
        <f>SUM(BD8:BD31)</f>
        <v>89976.666666666672</v>
      </c>
    </row>
    <row r="33" spans="2:10" ht="26.4" thickTop="1" x14ac:dyDescent="0.65">
      <c r="B33" s="104">
        <v>24</v>
      </c>
      <c r="C33" s="61"/>
      <c r="D33" s="64"/>
      <c r="E33" s="61"/>
      <c r="F33" s="61"/>
      <c r="G33" s="70"/>
      <c r="H33" s="163"/>
      <c r="I33" s="168"/>
      <c r="J33" s="175"/>
    </row>
    <row r="34" spans="2:10" ht="25.8" x14ac:dyDescent="0.65">
      <c r="B34" s="104">
        <v>25</v>
      </c>
      <c r="C34" s="61"/>
      <c r="D34" s="64"/>
      <c r="E34" s="61"/>
      <c r="F34" s="61"/>
      <c r="G34" s="70"/>
      <c r="H34" s="163"/>
      <c r="I34" s="168"/>
      <c r="J34" s="175"/>
    </row>
    <row r="35" spans="2:10" ht="25.8" x14ac:dyDescent="0.65">
      <c r="B35" s="104">
        <v>26</v>
      </c>
      <c r="C35" s="61"/>
      <c r="D35" s="64"/>
      <c r="E35" s="61"/>
      <c r="F35" s="61"/>
      <c r="G35" s="70"/>
      <c r="H35" s="163"/>
      <c r="I35" s="168"/>
      <c r="J35" s="175"/>
    </row>
    <row r="36" spans="2:10" ht="25.8" x14ac:dyDescent="0.65">
      <c r="B36" s="193">
        <v>27</v>
      </c>
      <c r="C36" s="61"/>
      <c r="D36" s="64"/>
      <c r="E36" s="61"/>
      <c r="F36" s="61"/>
      <c r="G36" s="70"/>
      <c r="H36" s="163"/>
      <c r="I36" s="168"/>
      <c r="J36" s="175"/>
    </row>
    <row r="37" spans="2:10" ht="25.8" x14ac:dyDescent="0.65">
      <c r="B37" s="104">
        <v>28</v>
      </c>
      <c r="C37" s="61"/>
      <c r="D37" s="64"/>
      <c r="E37" s="61"/>
      <c r="F37" s="61"/>
      <c r="G37" s="70"/>
      <c r="H37" s="163"/>
      <c r="I37" s="168"/>
      <c r="J37" s="175"/>
    </row>
    <row r="38" spans="2:10" ht="25.8" x14ac:dyDescent="0.65">
      <c r="B38" s="104">
        <v>29</v>
      </c>
      <c r="C38" s="61"/>
      <c r="D38" s="64"/>
      <c r="E38" s="61"/>
      <c r="F38" s="61"/>
      <c r="G38" s="70"/>
      <c r="H38" s="163"/>
      <c r="I38" s="168"/>
      <c r="J38" s="175"/>
    </row>
    <row r="39" spans="2:10" ht="25.8" x14ac:dyDescent="0.65">
      <c r="B39" s="104">
        <v>30</v>
      </c>
      <c r="C39" s="61"/>
      <c r="D39" s="64"/>
      <c r="E39" s="61"/>
      <c r="F39" s="61"/>
      <c r="G39" s="70"/>
      <c r="H39" s="163"/>
      <c r="I39" s="168"/>
      <c r="J39" s="175"/>
    </row>
    <row r="40" spans="2:10" ht="25.8" x14ac:dyDescent="0.65">
      <c r="B40" s="104">
        <v>31</v>
      </c>
      <c r="C40" s="47"/>
      <c r="D40" s="64"/>
      <c r="E40" s="47"/>
      <c r="F40" s="47"/>
      <c r="G40" s="49"/>
      <c r="H40" s="48"/>
      <c r="I40" s="168"/>
      <c r="J40" s="175"/>
    </row>
    <row r="41" spans="2:10" ht="25.8" x14ac:dyDescent="0.65">
      <c r="B41" s="104">
        <v>32</v>
      </c>
      <c r="C41" s="47"/>
      <c r="D41" s="64"/>
      <c r="E41" s="47"/>
      <c r="F41" s="47"/>
      <c r="G41" s="49"/>
      <c r="H41" s="48"/>
      <c r="I41" s="168"/>
      <c r="J41" s="175"/>
    </row>
    <row r="42" spans="2:10" ht="25.8" x14ac:dyDescent="0.65">
      <c r="B42" s="104">
        <v>33</v>
      </c>
      <c r="C42" s="47"/>
      <c r="D42" s="64"/>
      <c r="E42" s="47"/>
      <c r="F42" s="47"/>
      <c r="G42" s="49"/>
      <c r="H42" s="48"/>
      <c r="I42" s="168"/>
      <c r="J42" s="175"/>
    </row>
    <row r="43" spans="2:10" ht="25.8" x14ac:dyDescent="0.65">
      <c r="B43" s="104">
        <v>34</v>
      </c>
      <c r="C43" s="47"/>
      <c r="D43" s="64"/>
      <c r="E43" s="47"/>
      <c r="F43" s="47"/>
      <c r="G43" s="49"/>
      <c r="H43" s="48"/>
      <c r="I43" s="168"/>
      <c r="J43" s="175"/>
    </row>
    <row r="44" spans="2:10" ht="25.8" x14ac:dyDescent="0.65">
      <c r="B44" s="104">
        <v>35</v>
      </c>
      <c r="C44" s="47"/>
      <c r="D44" s="64"/>
      <c r="E44" s="47"/>
      <c r="F44" s="47"/>
      <c r="G44" s="49"/>
      <c r="H44" s="48"/>
      <c r="I44" s="168"/>
      <c r="J44" s="175"/>
    </row>
    <row r="45" spans="2:10" ht="25.8" x14ac:dyDescent="0.65">
      <c r="B45" s="104">
        <v>36</v>
      </c>
      <c r="C45" s="47"/>
      <c r="D45" s="64"/>
      <c r="E45" s="47"/>
      <c r="F45" s="47"/>
      <c r="G45" s="49"/>
      <c r="H45" s="48"/>
      <c r="I45" s="168"/>
      <c r="J45" s="175"/>
    </row>
    <row r="46" spans="2:10" ht="25.8" x14ac:dyDescent="0.65">
      <c r="B46" s="104">
        <v>37</v>
      </c>
      <c r="C46" s="47"/>
      <c r="D46" s="64"/>
      <c r="E46" s="47"/>
      <c r="F46" s="47"/>
      <c r="G46" s="49"/>
      <c r="H46" s="48"/>
      <c r="I46" s="168"/>
      <c r="J46" s="175"/>
    </row>
    <row r="47" spans="2:10" ht="18" x14ac:dyDescent="0.45">
      <c r="B47" s="7"/>
      <c r="C47" s="12"/>
      <c r="D47" s="9"/>
      <c r="E47" s="9"/>
      <c r="F47" s="32" t="s">
        <v>18</v>
      </c>
      <c r="G47" s="33">
        <f>SUM(G9:G46)</f>
        <v>15000</v>
      </c>
      <c r="H47" s="12"/>
      <c r="I47" s="7"/>
    </row>
    <row r="48" spans="2:10" ht="18" x14ac:dyDescent="0.45">
      <c r="B48" s="7"/>
      <c r="C48" s="12"/>
      <c r="D48" s="9"/>
      <c r="E48" s="9"/>
      <c r="F48" s="34" t="s">
        <v>19</v>
      </c>
      <c r="G48" s="35">
        <f>$C$6-G47</f>
        <v>6865000</v>
      </c>
      <c r="H48" s="12"/>
      <c r="I48" s="7"/>
    </row>
    <row r="49" spans="2:13" ht="18" x14ac:dyDescent="0.45">
      <c r="B49" s="7"/>
      <c r="C49" s="12"/>
      <c r="D49" s="9"/>
      <c r="E49" s="9"/>
      <c r="F49" s="12"/>
      <c r="G49" s="12"/>
      <c r="H49" s="12"/>
      <c r="I49" s="7"/>
    </row>
    <row r="50" spans="2:13" ht="18" x14ac:dyDescent="0.45">
      <c r="B50" s="7"/>
      <c r="C50" s="12"/>
      <c r="D50" s="9"/>
      <c r="E50" s="9"/>
      <c r="F50" s="36" t="s">
        <v>20</v>
      </c>
      <c r="G50" s="37">
        <f>G48/C6</f>
        <v>0.99781976744186052</v>
      </c>
      <c r="H50" s="38"/>
      <c r="I50" s="7"/>
    </row>
    <row r="51" spans="2:13" ht="26.4" x14ac:dyDescent="0.55000000000000004">
      <c r="B51" s="4"/>
      <c r="C51" s="11"/>
      <c r="D51" s="9"/>
      <c r="E51" s="10"/>
      <c r="F51" s="10"/>
      <c r="G51" s="3"/>
      <c r="H51" s="7"/>
      <c r="I51" s="7"/>
    </row>
    <row r="52" spans="2:13" ht="26.4" x14ac:dyDescent="0.55000000000000004">
      <c r="B52" s="143" t="s">
        <v>79</v>
      </c>
      <c r="C52" s="164">
        <f>'All Job balance report'!B28</f>
        <v>0</v>
      </c>
      <c r="D52" s="12"/>
      <c r="E52" s="13"/>
      <c r="F52" s="10"/>
      <c r="G52" s="3"/>
      <c r="H52" s="7"/>
      <c r="I52" s="7"/>
    </row>
    <row r="53" spans="2:13" ht="22.2" x14ac:dyDescent="0.55000000000000004">
      <c r="B53" s="82" t="s">
        <v>7</v>
      </c>
      <c r="C53" s="85">
        <f>'All Job balance report'!G28</f>
        <v>0</v>
      </c>
      <c r="D53" s="15"/>
      <c r="E53" s="17"/>
      <c r="F53" s="18"/>
      <c r="G53" s="18"/>
      <c r="H53" s="18"/>
      <c r="I53" s="18"/>
    </row>
    <row r="54" spans="2:13" x14ac:dyDescent="0.25">
      <c r="B54" s="557" t="s">
        <v>23</v>
      </c>
      <c r="C54" s="557" t="s">
        <v>28</v>
      </c>
      <c r="D54" s="559"/>
      <c r="E54" s="555" t="s">
        <v>13</v>
      </c>
      <c r="F54" s="555" t="s">
        <v>54</v>
      </c>
      <c r="G54" s="555" t="s">
        <v>55</v>
      </c>
      <c r="H54" s="555" t="s">
        <v>56</v>
      </c>
      <c r="I54" s="555" t="s">
        <v>57</v>
      </c>
    </row>
    <row r="55" spans="2:13" x14ac:dyDescent="0.25">
      <c r="B55" s="558"/>
      <c r="C55" s="558"/>
      <c r="D55" s="560"/>
      <c r="E55" s="555"/>
      <c r="F55" s="555"/>
      <c r="G55" s="555"/>
      <c r="H55" s="555"/>
      <c r="I55" s="555"/>
    </row>
    <row r="56" spans="2:13" ht="20.399999999999999" x14ac:dyDescent="0.3">
      <c r="B56" s="73">
        <v>1</v>
      </c>
      <c r="C56" s="77">
        <v>10</v>
      </c>
      <c r="D56" s="77"/>
      <c r="E56" s="83" t="s">
        <v>25</v>
      </c>
      <c r="F56" s="86">
        <v>4900000</v>
      </c>
      <c r="G56" s="94">
        <f>SUMIF($D$10:$D$46,$C$56,$G$10:$G$46)</f>
        <v>0</v>
      </c>
      <c r="H56" s="96">
        <f>F56-G56</f>
        <v>4900000</v>
      </c>
      <c r="I56" s="84"/>
      <c r="L56" s="149">
        <v>3142401</v>
      </c>
      <c r="M56" s="149">
        <v>2644700</v>
      </c>
    </row>
    <row r="57" spans="2:13" ht="20.399999999999999" x14ac:dyDescent="0.35">
      <c r="B57" s="74">
        <v>2</v>
      </c>
      <c r="C57" s="80">
        <v>20</v>
      </c>
      <c r="D57" s="80"/>
      <c r="E57" s="83" t="s">
        <v>26</v>
      </c>
      <c r="F57" s="87">
        <v>1700000</v>
      </c>
      <c r="G57" s="94">
        <f>SUMIF($D$10:$D$46,$C$57,$G$10:$G$46)</f>
        <v>0</v>
      </c>
      <c r="H57" s="96">
        <f t="shared" ref="H57:H63" si="4">F57-G57</f>
        <v>1700000</v>
      </c>
      <c r="I57" s="84"/>
      <c r="L57" s="151">
        <f>L56-SUM(F58:F63)</f>
        <v>2862401</v>
      </c>
    </row>
    <row r="58" spans="2:13" ht="20.399999999999999" x14ac:dyDescent="0.35">
      <c r="B58" s="75">
        <v>3</v>
      </c>
      <c r="C58" s="80">
        <v>30</v>
      </c>
      <c r="D58" s="80"/>
      <c r="E58" s="83" t="s">
        <v>48</v>
      </c>
      <c r="F58" s="87">
        <v>30000</v>
      </c>
      <c r="G58" s="94">
        <f>SUMIF($D$10:$D$46,$C$58,$G$10:$G$46)</f>
        <v>0</v>
      </c>
      <c r="H58" s="96">
        <f t="shared" si="4"/>
        <v>30000</v>
      </c>
      <c r="I58" s="81"/>
    </row>
    <row r="59" spans="2:13" ht="20.399999999999999" x14ac:dyDescent="0.35">
      <c r="B59" s="75">
        <v>4</v>
      </c>
      <c r="C59" s="80">
        <v>40</v>
      </c>
      <c r="D59" s="80"/>
      <c r="E59" s="83" t="s">
        <v>49</v>
      </c>
      <c r="F59" s="87">
        <v>30000</v>
      </c>
      <c r="G59" s="94">
        <f>SUMIF($D$10:$D$46,$C$59,$G$10:$G$46)</f>
        <v>0</v>
      </c>
      <c r="H59" s="96">
        <f t="shared" si="4"/>
        <v>30000</v>
      </c>
      <c r="I59" s="81"/>
    </row>
    <row r="60" spans="2:13" ht="20.399999999999999" x14ac:dyDescent="0.35">
      <c r="B60" s="75">
        <v>5</v>
      </c>
      <c r="C60" s="80">
        <v>50</v>
      </c>
      <c r="D60" s="80"/>
      <c r="E60" s="83" t="s">
        <v>47</v>
      </c>
      <c r="F60" s="87">
        <v>120000</v>
      </c>
      <c r="G60" s="94">
        <f>SUMIF($D$10:$D$46,$C$60,$G$10:$G$46)</f>
        <v>0</v>
      </c>
      <c r="H60" s="96">
        <f t="shared" si="4"/>
        <v>120000</v>
      </c>
      <c r="I60" s="81"/>
    </row>
    <row r="61" spans="2:13" ht="20.399999999999999" x14ac:dyDescent="0.35">
      <c r="B61" s="76">
        <v>6</v>
      </c>
      <c r="C61" s="80">
        <v>60</v>
      </c>
      <c r="D61" s="80"/>
      <c r="E61" s="83" t="s">
        <v>51</v>
      </c>
      <c r="F61" s="87">
        <v>30000</v>
      </c>
      <c r="G61" s="94">
        <f>SUMIF($D$10:$D$46,$C$61,$G$10:$G$46)</f>
        <v>0</v>
      </c>
      <c r="H61" s="96">
        <f t="shared" si="4"/>
        <v>30000</v>
      </c>
      <c r="I61" s="81"/>
    </row>
    <row r="62" spans="2:13" ht="20.399999999999999" x14ac:dyDescent="0.35">
      <c r="B62" s="76">
        <v>7</v>
      </c>
      <c r="C62" s="80">
        <v>70</v>
      </c>
      <c r="D62" s="80"/>
      <c r="E62" s="83" t="s">
        <v>52</v>
      </c>
      <c r="F62" s="87">
        <v>30000</v>
      </c>
      <c r="G62" s="94">
        <f>SUMIF($D$10:$D$46,$C$62,$G$10:$G$46)</f>
        <v>0</v>
      </c>
      <c r="H62" s="96">
        <f t="shared" si="4"/>
        <v>30000</v>
      </c>
      <c r="I62" s="81"/>
    </row>
    <row r="63" spans="2:13" ht="20.399999999999999" x14ac:dyDescent="0.35">
      <c r="B63" s="76">
        <v>8</v>
      </c>
      <c r="C63" s="80">
        <v>80</v>
      </c>
      <c r="D63" s="80"/>
      <c r="E63" s="83" t="s">
        <v>53</v>
      </c>
      <c r="F63" s="87">
        <v>40000</v>
      </c>
      <c r="G63" s="94">
        <f>SUMIF($D$10:$D$46,$C$63,$G$10:$G$46)</f>
        <v>15000</v>
      </c>
      <c r="H63" s="96">
        <f t="shared" si="4"/>
        <v>25000</v>
      </c>
      <c r="I63" s="81"/>
    </row>
    <row r="64" spans="2:13" ht="20.399999999999999" x14ac:dyDescent="0.35">
      <c r="B64" s="89"/>
      <c r="C64" s="90"/>
      <c r="D64" s="90"/>
      <c r="E64" s="91" t="s">
        <v>59</v>
      </c>
      <c r="F64" s="92">
        <f>SUM(F56:F63)</f>
        <v>6880000</v>
      </c>
      <c r="G64" s="92">
        <f>SUM(G56:G63)</f>
        <v>15000</v>
      </c>
      <c r="H64" s="97">
        <f>SUM(H56:H63)</f>
        <v>6865000</v>
      </c>
      <c r="I64" s="93"/>
    </row>
    <row r="65" spans="2:9" ht="20.399999999999999" x14ac:dyDescent="0.35">
      <c r="B65" s="89"/>
      <c r="C65" s="90"/>
      <c r="D65" s="90"/>
      <c r="E65" s="91" t="s">
        <v>60</v>
      </c>
      <c r="F65" s="88" t="e">
        <f>((C53-F64)/C53)</f>
        <v>#DIV/0!</v>
      </c>
      <c r="G65" s="88"/>
      <c r="H65" s="93"/>
      <c r="I65" s="93"/>
    </row>
    <row r="66" spans="2:9" ht="20.399999999999999" x14ac:dyDescent="0.35">
      <c r="B66" s="89"/>
      <c r="C66" s="90"/>
      <c r="D66" s="90"/>
      <c r="E66" s="91" t="s">
        <v>58</v>
      </c>
      <c r="F66" s="92" t="e">
        <f>F65*C53</f>
        <v>#DIV/0!</v>
      </c>
      <c r="G66" s="92"/>
      <c r="H66" s="93"/>
      <c r="I66" s="93"/>
    </row>
    <row r="67" spans="2:9" ht="22.2" x14ac:dyDescent="0.35">
      <c r="B67" s="41"/>
      <c r="C67" s="40"/>
      <c r="D67" s="40"/>
      <c r="E67" s="91" t="s">
        <v>68</v>
      </c>
      <c r="F67" s="194">
        <f>C53-G64</f>
        <v>-15000</v>
      </c>
      <c r="G67" s="95"/>
      <c r="H67" s="81"/>
      <c r="I67" s="81"/>
    </row>
    <row r="68" spans="2:9" ht="15" x14ac:dyDescent="0.25">
      <c r="B68" s="41"/>
      <c r="C68" s="40"/>
      <c r="D68" s="40"/>
      <c r="E68" s="40"/>
      <c r="F68" s="40"/>
      <c r="G68" s="42"/>
      <c r="H68" s="43"/>
      <c r="I68" s="43"/>
    </row>
    <row r="69" spans="2:9" ht="15" x14ac:dyDescent="0.25">
      <c r="B69" s="41"/>
      <c r="C69" s="40"/>
      <c r="D69" s="40"/>
      <c r="E69" s="40"/>
      <c r="F69" s="390">
        <v>0.05</v>
      </c>
      <c r="G69" s="42"/>
      <c r="H69" s="43"/>
      <c r="I69" s="43"/>
    </row>
    <row r="70" spans="2:9" ht="15" x14ac:dyDescent="0.25">
      <c r="B70" s="41"/>
      <c r="C70" s="42">
        <v>10</v>
      </c>
      <c r="D70" s="399">
        <v>1586758.37</v>
      </c>
      <c r="E70" s="40"/>
      <c r="F70" s="389">
        <f>F67*F69</f>
        <v>-750</v>
      </c>
      <c r="G70" s="42"/>
      <c r="H70" s="43"/>
      <c r="I70" s="43"/>
    </row>
    <row r="71" spans="2:9" ht="15" x14ac:dyDescent="0.25">
      <c r="B71" s="41"/>
      <c r="C71" s="40"/>
      <c r="D71" s="399">
        <v>1680045</v>
      </c>
      <c r="E71" s="40"/>
      <c r="F71" s="40"/>
      <c r="G71" s="42"/>
      <c r="H71" s="43"/>
      <c r="I71" s="43"/>
    </row>
    <row r="72" spans="2:9" ht="18" x14ac:dyDescent="0.45">
      <c r="B72" s="7"/>
      <c r="C72" s="12"/>
      <c r="D72" s="399">
        <v>2395153.08</v>
      </c>
      <c r="E72" s="9"/>
      <c r="F72" s="39"/>
      <c r="G72" s="44"/>
      <c r="H72" s="12"/>
      <c r="I72" s="7"/>
    </row>
    <row r="73" spans="2:9" ht="18" x14ac:dyDescent="0.45">
      <c r="B73" s="7"/>
      <c r="C73" s="12"/>
      <c r="D73" s="399">
        <v>110550</v>
      </c>
      <c r="E73" s="9"/>
      <c r="F73" s="45"/>
      <c r="G73" s="46"/>
      <c r="H73" s="12"/>
      <c r="I73" s="7"/>
    </row>
    <row r="74" spans="2:9" ht="18" x14ac:dyDescent="0.45">
      <c r="B74" s="7"/>
      <c r="C74" s="12"/>
      <c r="D74" s="399">
        <v>983133.69</v>
      </c>
      <c r="E74" s="9"/>
      <c r="F74" s="12"/>
      <c r="G74" s="12"/>
      <c r="H74" s="12"/>
      <c r="I74" s="7"/>
    </row>
    <row r="75" spans="2:9" ht="15" x14ac:dyDescent="0.25">
      <c r="D75" s="399"/>
    </row>
    <row r="76" spans="2:9" ht="15" x14ac:dyDescent="0.25">
      <c r="D76" s="399"/>
    </row>
    <row r="77" spans="2:9" ht="15" x14ac:dyDescent="0.25">
      <c r="D77" s="399"/>
    </row>
    <row r="78" spans="2:9" ht="15" x14ac:dyDescent="0.25">
      <c r="D78" s="399"/>
    </row>
    <row r="79" spans="2:9" ht="15" x14ac:dyDescent="0.25">
      <c r="D79" s="399"/>
    </row>
    <row r="80" spans="2:9" ht="15.6" thickBot="1" x14ac:dyDescent="0.3">
      <c r="D80" s="400">
        <f>SUM(D70:D79)</f>
        <v>6755640.1400000006</v>
      </c>
    </row>
    <row r="81" spans="3:4" ht="15.6" thickTop="1" x14ac:dyDescent="0.25">
      <c r="D81" s="399"/>
    </row>
    <row r="82" spans="3:4" ht="15" x14ac:dyDescent="0.25">
      <c r="C82" s="42">
        <v>20</v>
      </c>
      <c r="D82" s="399">
        <v>272504.13</v>
      </c>
    </row>
    <row r="83" spans="3:4" ht="15" x14ac:dyDescent="0.25">
      <c r="D83" s="399">
        <v>741860.99</v>
      </c>
    </row>
    <row r="84" spans="3:4" ht="15" x14ac:dyDescent="0.25">
      <c r="D84" s="399">
        <v>937577.84</v>
      </c>
    </row>
    <row r="85" spans="3:4" ht="15" x14ac:dyDescent="0.25">
      <c r="D85" s="399">
        <v>40000</v>
      </c>
    </row>
    <row r="86" spans="3:4" ht="15" x14ac:dyDescent="0.25">
      <c r="D86" s="399">
        <v>482416.9</v>
      </c>
    </row>
    <row r="87" spans="3:4" ht="15" x14ac:dyDescent="0.25">
      <c r="D87" s="399"/>
    </row>
    <row r="88" spans="3:4" ht="15" x14ac:dyDescent="0.25">
      <c r="D88" s="399"/>
    </row>
    <row r="89" spans="3:4" ht="15" x14ac:dyDescent="0.25">
      <c r="D89" s="399"/>
    </row>
    <row r="90" spans="3:4" ht="15" x14ac:dyDescent="0.25">
      <c r="D90" s="399"/>
    </row>
    <row r="91" spans="3:4" ht="15" x14ac:dyDescent="0.25">
      <c r="D91" s="399"/>
    </row>
    <row r="92" spans="3:4" ht="15.6" thickBot="1" x14ac:dyDescent="0.3">
      <c r="D92" s="400">
        <f>SUM(D82:D91)</f>
        <v>2474359.86</v>
      </c>
    </row>
    <row r="93" spans="3:4" ht="15.6" thickTop="1" x14ac:dyDescent="0.25">
      <c r="D93" s="399"/>
    </row>
    <row r="94" spans="3:4" ht="15" x14ac:dyDescent="0.25">
      <c r="D94" s="399"/>
    </row>
    <row r="95" spans="3:4" ht="15" x14ac:dyDescent="0.25">
      <c r="D95" s="399"/>
    </row>
    <row r="96" spans="3:4" ht="15" x14ac:dyDescent="0.25">
      <c r="D96" s="399"/>
    </row>
  </sheetData>
  <mergeCells count="55">
    <mergeCell ref="I54:I55"/>
    <mergeCell ref="B54:B55"/>
    <mergeCell ref="C54:D55"/>
    <mergeCell ref="E54:E55"/>
    <mergeCell ref="F54:F55"/>
    <mergeCell ref="G54:G55"/>
    <mergeCell ref="H54:H55"/>
    <mergeCell ref="BW4:BW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K4:BK6"/>
    <mergeCell ref="AX4:AX6"/>
    <mergeCell ref="AY4:AY6"/>
    <mergeCell ref="AZ4:AZ6"/>
    <mergeCell ref="BA4:BA6"/>
    <mergeCell ref="BB4:BB6"/>
    <mergeCell ref="BE4:BE6"/>
    <mergeCell ref="BF4:BF6"/>
    <mergeCell ref="BG4:BG6"/>
    <mergeCell ref="BH4:BH6"/>
    <mergeCell ref="BI4:BI6"/>
    <mergeCell ref="BJ4:BJ6"/>
    <mergeCell ref="AW4:AW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K4:AK6"/>
    <mergeCell ref="E4:F5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</mergeCells>
  <conditionalFormatting sqref="H56:H64">
    <cfRule type="cellIs" dxfId="70" priority="1" operator="lessThan">
      <formula>0</formula>
    </cfRule>
    <cfRule type="cellIs" dxfId="69" priority="2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6F7D4-8BF9-4297-8DC1-CE3228225B28}">
  <sheetPr>
    <tabColor theme="2" tint="-0.749992370372631"/>
  </sheetPr>
  <dimension ref="B1:BW96"/>
  <sheetViews>
    <sheetView zoomScale="60" zoomScaleNormal="60" workbookViewId="0">
      <selection activeCell="H41" sqref="H41"/>
    </sheetView>
  </sheetViews>
  <sheetFormatPr defaultRowHeight="13.8" x14ac:dyDescent="0.25"/>
  <cols>
    <col min="2" max="2" width="21.59765625" style="1" customWidth="1"/>
    <col min="3" max="3" width="48.19921875" style="1" customWidth="1"/>
    <col min="4" max="4" width="19.19921875" style="1" customWidth="1"/>
    <col min="5" max="5" width="50.5" style="1" customWidth="1"/>
    <col min="6" max="6" width="38.09765625" style="1" customWidth="1"/>
    <col min="7" max="7" width="26" style="1" customWidth="1"/>
    <col min="8" max="9" width="22.19921875" style="1" customWidth="1"/>
    <col min="10" max="10" width="16.796875" customWidth="1"/>
    <col min="12" max="12" width="13" bestFit="1" customWidth="1"/>
    <col min="13" max="13" width="12.8984375" bestFit="1" customWidth="1"/>
    <col min="21" max="21" width="6.5" style="177" customWidth="1"/>
    <col min="22" max="26" width="14.09765625" customWidth="1"/>
    <col min="27" max="27" width="6.09765625" style="177" customWidth="1"/>
    <col min="28" max="54" width="4.796875" style="177" customWidth="1"/>
    <col min="55" max="55" width="8.8984375" style="177" customWidth="1"/>
    <col min="56" max="56" width="12.09765625" style="177" customWidth="1"/>
    <col min="57" max="75" width="4.796875" style="177" customWidth="1"/>
  </cols>
  <sheetData>
    <row r="1" spans="2:75" ht="22.2" x14ac:dyDescent="0.35">
      <c r="B1" s="14" t="s">
        <v>0</v>
      </c>
      <c r="C1" s="2" t="s">
        <v>21</v>
      </c>
      <c r="D1" s="2"/>
      <c r="E1" s="2"/>
      <c r="F1" s="3"/>
      <c r="G1" s="3"/>
      <c r="H1" s="146" t="s">
        <v>1</v>
      </c>
      <c r="I1" s="147">
        <v>45833</v>
      </c>
    </row>
    <row r="2" spans="2:75" ht="22.2" x14ac:dyDescent="0.55000000000000004">
      <c r="B2" s="4" t="s">
        <v>2</v>
      </c>
      <c r="C2" s="5" t="s">
        <v>288</v>
      </c>
      <c r="D2" s="5"/>
      <c r="E2" s="5"/>
      <c r="F2" s="3"/>
      <c r="G2" s="3"/>
      <c r="H2" s="146" t="s">
        <v>3</v>
      </c>
      <c r="I2" s="148"/>
    </row>
    <row r="3" spans="2:75" ht="22.2" x14ac:dyDescent="0.55000000000000004">
      <c r="B3" s="4" t="s">
        <v>74</v>
      </c>
      <c r="C3" s="145" t="str">
        <f>C52</f>
        <v>TMD-2601/001</v>
      </c>
      <c r="D3" s="6"/>
      <c r="E3" s="6"/>
      <c r="F3" s="7"/>
      <c r="G3" s="7"/>
      <c r="H3" s="7"/>
      <c r="I3" s="7"/>
    </row>
    <row r="4" spans="2:75" ht="22.2" customHeight="1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AA4" s="568">
        <v>45811</v>
      </c>
      <c r="AB4" s="568">
        <v>45812</v>
      </c>
      <c r="AC4" s="568">
        <v>45813</v>
      </c>
      <c r="AD4" s="568">
        <v>45814</v>
      </c>
      <c r="AE4" s="568">
        <v>45815</v>
      </c>
      <c r="AF4" s="571">
        <v>45816</v>
      </c>
      <c r="AG4" s="568">
        <v>45817</v>
      </c>
      <c r="AH4" s="568">
        <v>45818</v>
      </c>
      <c r="AI4" s="568">
        <v>45819</v>
      </c>
      <c r="AJ4" s="568">
        <v>45820</v>
      </c>
      <c r="AK4" s="568">
        <v>45821</v>
      </c>
      <c r="AL4" s="568">
        <v>45822</v>
      </c>
      <c r="AM4" s="571">
        <v>45823</v>
      </c>
      <c r="AN4" s="568">
        <v>45824</v>
      </c>
      <c r="AO4" s="568">
        <v>45825</v>
      </c>
      <c r="AP4" s="568">
        <v>45826</v>
      </c>
      <c r="AQ4" s="568">
        <v>45827</v>
      </c>
      <c r="AR4" s="568">
        <v>45828</v>
      </c>
      <c r="AS4" s="568">
        <v>45829</v>
      </c>
      <c r="AT4" s="571">
        <v>45830</v>
      </c>
      <c r="AU4" s="568">
        <v>45831</v>
      </c>
      <c r="AV4" s="568">
        <v>45832</v>
      </c>
      <c r="AW4" s="568">
        <v>45833</v>
      </c>
      <c r="AX4" s="568">
        <v>45834</v>
      </c>
      <c r="AY4" s="568">
        <v>45835</v>
      </c>
      <c r="AZ4" s="568">
        <v>45836</v>
      </c>
      <c r="BA4" s="571">
        <v>45837</v>
      </c>
      <c r="BB4" s="568">
        <v>45838</v>
      </c>
      <c r="BC4" s="182"/>
      <c r="BD4" s="182"/>
      <c r="BE4" s="568">
        <v>45839</v>
      </c>
      <c r="BF4" s="568">
        <v>45840</v>
      </c>
      <c r="BG4" s="568">
        <v>45841</v>
      </c>
      <c r="BH4" s="568">
        <v>45842</v>
      </c>
      <c r="BI4" s="568">
        <v>45843</v>
      </c>
      <c r="BJ4" s="571">
        <v>45844</v>
      </c>
      <c r="BK4" s="568">
        <v>45845</v>
      </c>
      <c r="BL4" s="568">
        <v>45846</v>
      </c>
      <c r="BM4" s="568">
        <v>45847</v>
      </c>
      <c r="BN4" s="568">
        <v>45848</v>
      </c>
      <c r="BO4" s="568">
        <v>45849</v>
      </c>
      <c r="BP4" s="568">
        <v>45850</v>
      </c>
      <c r="BQ4" s="571">
        <v>45851</v>
      </c>
      <c r="BR4" s="568">
        <v>45852</v>
      </c>
      <c r="BS4" s="568">
        <v>45853</v>
      </c>
      <c r="BT4" s="568">
        <v>45854</v>
      </c>
      <c r="BU4" s="568">
        <v>45855</v>
      </c>
      <c r="BV4" s="568">
        <v>45856</v>
      </c>
      <c r="BW4" s="568">
        <v>45857</v>
      </c>
    </row>
    <row r="5" spans="2:75" ht="22.2" x14ac:dyDescent="0.55000000000000004">
      <c r="B5" s="4" t="s">
        <v>7</v>
      </c>
      <c r="C5" s="11">
        <f>C53</f>
        <v>42000</v>
      </c>
      <c r="D5" s="9"/>
      <c r="E5" s="556"/>
      <c r="F5" s="556"/>
      <c r="G5" s="3"/>
      <c r="H5" s="7"/>
      <c r="I5" s="7"/>
      <c r="AA5" s="569"/>
      <c r="AB5" s="569"/>
      <c r="AC5" s="569"/>
      <c r="AD5" s="569"/>
      <c r="AE5" s="569"/>
      <c r="AF5" s="572"/>
      <c r="AG5" s="569"/>
      <c r="AH5" s="569"/>
      <c r="AI5" s="569"/>
      <c r="AJ5" s="569"/>
      <c r="AK5" s="569"/>
      <c r="AL5" s="569"/>
      <c r="AM5" s="572"/>
      <c r="AN5" s="569"/>
      <c r="AO5" s="569"/>
      <c r="AP5" s="569"/>
      <c r="AQ5" s="569"/>
      <c r="AR5" s="569"/>
      <c r="AS5" s="569"/>
      <c r="AT5" s="572"/>
      <c r="AU5" s="569"/>
      <c r="AV5" s="569"/>
      <c r="AW5" s="569"/>
      <c r="AX5" s="569"/>
      <c r="AY5" s="569"/>
      <c r="AZ5" s="569"/>
      <c r="BA5" s="572"/>
      <c r="BB5" s="569"/>
      <c r="BC5" s="183"/>
      <c r="BD5" s="183"/>
      <c r="BE5" s="569"/>
      <c r="BF5" s="569"/>
      <c r="BG5" s="569"/>
      <c r="BH5" s="569"/>
      <c r="BI5" s="569"/>
      <c r="BJ5" s="572"/>
      <c r="BK5" s="569"/>
      <c r="BL5" s="569"/>
      <c r="BM5" s="569"/>
      <c r="BN5" s="569"/>
      <c r="BO5" s="569"/>
      <c r="BP5" s="569"/>
      <c r="BQ5" s="572"/>
      <c r="BR5" s="569"/>
      <c r="BS5" s="569"/>
      <c r="BT5" s="569"/>
      <c r="BU5" s="569"/>
      <c r="BV5" s="569"/>
      <c r="BW5" s="569"/>
    </row>
    <row r="6" spans="2:75" ht="26.4" x14ac:dyDescent="0.55000000000000004">
      <c r="B6" s="4" t="s">
        <v>8</v>
      </c>
      <c r="C6" s="11">
        <f>F64</f>
        <v>10090000</v>
      </c>
      <c r="D6" s="12"/>
      <c r="E6" s="13"/>
      <c r="F6" s="10"/>
      <c r="G6" s="3"/>
      <c r="H6" s="7"/>
      <c r="I6" s="7"/>
      <c r="Z6">
        <v>100</v>
      </c>
      <c r="AA6" s="570"/>
      <c r="AB6" s="570"/>
      <c r="AC6" s="570"/>
      <c r="AD6" s="570"/>
      <c r="AE6" s="570"/>
      <c r="AF6" s="573"/>
      <c r="AG6" s="570"/>
      <c r="AH6" s="570"/>
      <c r="AI6" s="570"/>
      <c r="AJ6" s="570"/>
      <c r="AK6" s="570"/>
      <c r="AL6" s="570"/>
      <c r="AM6" s="573"/>
      <c r="AN6" s="570"/>
      <c r="AO6" s="570"/>
      <c r="AP6" s="570"/>
      <c r="AQ6" s="570"/>
      <c r="AR6" s="570"/>
      <c r="AS6" s="570"/>
      <c r="AT6" s="573"/>
      <c r="AU6" s="570"/>
      <c r="AV6" s="570"/>
      <c r="AW6" s="570"/>
      <c r="AX6" s="570"/>
      <c r="AY6" s="570"/>
      <c r="AZ6" s="570"/>
      <c r="BA6" s="573"/>
      <c r="BB6" s="570"/>
      <c r="BC6" s="184"/>
      <c r="BD6" s="184"/>
      <c r="BE6" s="570"/>
      <c r="BF6" s="570"/>
      <c r="BG6" s="570"/>
      <c r="BH6" s="570"/>
      <c r="BI6" s="570"/>
      <c r="BJ6" s="573"/>
      <c r="BK6" s="570"/>
      <c r="BL6" s="570"/>
      <c r="BM6" s="570"/>
      <c r="BN6" s="570"/>
      <c r="BO6" s="570"/>
      <c r="BP6" s="570"/>
      <c r="BQ6" s="573"/>
      <c r="BR6" s="570"/>
      <c r="BS6" s="570"/>
      <c r="BT6" s="570"/>
      <c r="BU6" s="570"/>
      <c r="BV6" s="570"/>
      <c r="BW6" s="570"/>
    </row>
    <row r="7" spans="2:75" ht="22.2" x14ac:dyDescent="0.55000000000000004">
      <c r="B7" s="15" t="s">
        <v>9</v>
      </c>
      <c r="C7" s="16">
        <f>(C5-C6)/C5</f>
        <v>-239.23809523809524</v>
      </c>
      <c r="D7" s="15" t="s">
        <v>10</v>
      </c>
      <c r="E7" s="17">
        <v>1</v>
      </c>
      <c r="F7" s="18"/>
      <c r="G7" s="18"/>
      <c r="H7" s="18"/>
      <c r="I7" s="18"/>
      <c r="U7" s="178" t="s">
        <v>63</v>
      </c>
      <c r="V7" s="178" t="s">
        <v>129</v>
      </c>
      <c r="W7" s="178" t="s">
        <v>130</v>
      </c>
      <c r="X7" s="181" t="s">
        <v>131</v>
      </c>
      <c r="Y7" s="178" t="s">
        <v>156</v>
      </c>
      <c r="Z7" s="178" t="s">
        <v>157</v>
      </c>
      <c r="AA7" s="188">
        <f>SUM(AA8:AA31)</f>
        <v>4</v>
      </c>
      <c r="AB7" s="188">
        <f t="shared" ref="AB7:BW7" si="0">SUM(AB8:AB31)</f>
        <v>3</v>
      </c>
      <c r="AC7" s="188">
        <f t="shared" si="0"/>
        <v>3</v>
      </c>
      <c r="AD7" s="188">
        <f t="shared" si="0"/>
        <v>3</v>
      </c>
      <c r="AE7" s="188">
        <f t="shared" si="0"/>
        <v>3</v>
      </c>
      <c r="AF7" s="188">
        <f t="shared" si="0"/>
        <v>0</v>
      </c>
      <c r="AG7" s="188">
        <f t="shared" si="0"/>
        <v>11</v>
      </c>
      <c r="AH7" s="188">
        <f t="shared" si="0"/>
        <v>11</v>
      </c>
      <c r="AI7" s="188">
        <f t="shared" si="0"/>
        <v>11</v>
      </c>
      <c r="AJ7" s="188">
        <f t="shared" si="0"/>
        <v>11</v>
      </c>
      <c r="AK7" s="188">
        <f t="shared" si="0"/>
        <v>11</v>
      </c>
      <c r="AL7" s="188">
        <f t="shared" si="0"/>
        <v>11</v>
      </c>
      <c r="AM7" s="188">
        <f t="shared" si="0"/>
        <v>0</v>
      </c>
      <c r="AN7" s="188">
        <f t="shared" si="0"/>
        <v>11</v>
      </c>
      <c r="AO7" s="188">
        <f t="shared" si="0"/>
        <v>11</v>
      </c>
      <c r="AP7" s="188">
        <f t="shared" si="0"/>
        <v>11</v>
      </c>
      <c r="AQ7" s="188">
        <f t="shared" si="0"/>
        <v>11</v>
      </c>
      <c r="AR7" s="188">
        <f t="shared" si="0"/>
        <v>11</v>
      </c>
      <c r="AS7" s="188">
        <f t="shared" si="0"/>
        <v>11</v>
      </c>
      <c r="AT7" s="188">
        <f t="shared" si="0"/>
        <v>0</v>
      </c>
      <c r="AU7" s="188">
        <f t="shared" si="0"/>
        <v>11</v>
      </c>
      <c r="AV7" s="188">
        <f t="shared" si="0"/>
        <v>11</v>
      </c>
      <c r="AW7" s="188">
        <f t="shared" si="0"/>
        <v>0</v>
      </c>
      <c r="AX7" s="188">
        <f t="shared" si="0"/>
        <v>0</v>
      </c>
      <c r="AY7" s="188">
        <f t="shared" si="0"/>
        <v>0</v>
      </c>
      <c r="AZ7" s="188">
        <f t="shared" si="0"/>
        <v>0</v>
      </c>
      <c r="BA7" s="188">
        <f t="shared" si="0"/>
        <v>0</v>
      </c>
      <c r="BB7" s="188">
        <f t="shared" si="0"/>
        <v>0</v>
      </c>
      <c r="BC7" s="188"/>
      <c r="BD7" s="188"/>
      <c r="BE7" s="188">
        <f t="shared" si="0"/>
        <v>0</v>
      </c>
      <c r="BF7" s="188">
        <f t="shared" si="0"/>
        <v>0</v>
      </c>
      <c r="BG7" s="188">
        <f t="shared" si="0"/>
        <v>0</v>
      </c>
      <c r="BH7" s="188">
        <f t="shared" si="0"/>
        <v>0</v>
      </c>
      <c r="BI7" s="188">
        <f t="shared" si="0"/>
        <v>0</v>
      </c>
      <c r="BJ7" s="188">
        <f t="shared" si="0"/>
        <v>0</v>
      </c>
      <c r="BK7" s="188">
        <f t="shared" si="0"/>
        <v>0</v>
      </c>
      <c r="BL7" s="188">
        <f t="shared" si="0"/>
        <v>0</v>
      </c>
      <c r="BM7" s="188">
        <f t="shared" si="0"/>
        <v>0</v>
      </c>
      <c r="BN7" s="188">
        <f t="shared" si="0"/>
        <v>0</v>
      </c>
      <c r="BO7" s="188">
        <f t="shared" si="0"/>
        <v>0</v>
      </c>
      <c r="BP7" s="188">
        <f t="shared" si="0"/>
        <v>0</v>
      </c>
      <c r="BQ7" s="188">
        <f t="shared" si="0"/>
        <v>0</v>
      </c>
      <c r="BR7" s="188">
        <f t="shared" si="0"/>
        <v>0</v>
      </c>
      <c r="BS7" s="188">
        <f t="shared" si="0"/>
        <v>0</v>
      </c>
      <c r="BT7" s="188">
        <f t="shared" si="0"/>
        <v>0</v>
      </c>
      <c r="BU7" s="188">
        <f t="shared" si="0"/>
        <v>0</v>
      </c>
      <c r="BV7" s="188">
        <f t="shared" si="0"/>
        <v>0</v>
      </c>
      <c r="BW7" s="188">
        <f t="shared" si="0"/>
        <v>0</v>
      </c>
    </row>
    <row r="8" spans="2:75" ht="30" customHeight="1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65" t="s">
        <v>16</v>
      </c>
      <c r="J8" s="174" t="s">
        <v>126</v>
      </c>
      <c r="U8" s="179">
        <v>1</v>
      </c>
      <c r="V8" s="180" t="s">
        <v>132</v>
      </c>
      <c r="W8" s="150">
        <v>31500</v>
      </c>
      <c r="X8" s="150">
        <v>1050</v>
      </c>
      <c r="Y8" s="150">
        <v>1400</v>
      </c>
      <c r="Z8" s="150"/>
      <c r="AA8" s="179"/>
      <c r="AB8" s="179"/>
      <c r="AC8" s="179"/>
      <c r="AD8" s="179"/>
      <c r="AE8" s="179"/>
      <c r="AF8" s="179"/>
      <c r="AG8" s="179">
        <v>1</v>
      </c>
      <c r="AH8" s="179">
        <v>1</v>
      </c>
      <c r="AI8" s="179">
        <v>1</v>
      </c>
      <c r="AJ8" s="179">
        <v>1</v>
      </c>
      <c r="AK8" s="179">
        <v>1</v>
      </c>
      <c r="AL8" s="179">
        <v>1</v>
      </c>
      <c r="AM8" s="179"/>
      <c r="AN8" s="179">
        <v>1</v>
      </c>
      <c r="AO8" s="179">
        <v>1</v>
      </c>
      <c r="AP8" s="179">
        <v>1</v>
      </c>
      <c r="AQ8" s="179">
        <v>1</v>
      </c>
      <c r="AR8" s="179">
        <v>1</v>
      </c>
      <c r="AS8" s="179">
        <v>1</v>
      </c>
      <c r="AT8" s="179"/>
      <c r="AU8" s="179">
        <v>1</v>
      </c>
      <c r="AV8" s="179">
        <v>1</v>
      </c>
      <c r="AW8" s="179"/>
      <c r="AX8" s="179"/>
      <c r="AY8" s="179"/>
      <c r="AZ8" s="179"/>
      <c r="BA8" s="179"/>
      <c r="BB8" s="179"/>
      <c r="BC8" s="179">
        <f>SUM(AA8:BB8)</f>
        <v>14</v>
      </c>
      <c r="BD8" s="191">
        <f>(BC8*X8)+Y8+Z8</f>
        <v>16100</v>
      </c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  <c r="BS8" s="179"/>
      <c r="BT8" s="179"/>
      <c r="BU8" s="179"/>
      <c r="BV8" s="179"/>
      <c r="BW8" s="179"/>
    </row>
    <row r="9" spans="2:75" ht="30" customHeight="1" x14ac:dyDescent="0.25">
      <c r="B9" s="22"/>
      <c r="C9" s="23"/>
      <c r="D9" s="23"/>
      <c r="E9" s="23"/>
      <c r="F9" s="23"/>
      <c r="G9" s="24"/>
      <c r="H9" s="25"/>
      <c r="I9" s="166"/>
      <c r="J9" s="175"/>
      <c r="U9" s="179">
        <v>2</v>
      </c>
      <c r="V9" s="175" t="s">
        <v>133</v>
      </c>
      <c r="W9" s="150">
        <v>21300</v>
      </c>
      <c r="X9" s="150">
        <v>710</v>
      </c>
      <c r="Y9" s="150">
        <v>1400</v>
      </c>
      <c r="Z9" s="150">
        <v>2000</v>
      </c>
      <c r="AA9" s="179">
        <v>1</v>
      </c>
      <c r="AB9" s="179"/>
      <c r="AC9" s="179"/>
      <c r="AD9" s="179"/>
      <c r="AE9" s="179"/>
      <c r="AF9" s="179"/>
      <c r="AG9" s="179">
        <v>1</v>
      </c>
      <c r="AH9" s="179">
        <v>1</v>
      </c>
      <c r="AI9" s="179">
        <v>1</v>
      </c>
      <c r="AJ9" s="179">
        <v>1</v>
      </c>
      <c r="AK9" s="179">
        <v>1</v>
      </c>
      <c r="AL9" s="179">
        <v>1</v>
      </c>
      <c r="AM9" s="179"/>
      <c r="AN9" s="179">
        <v>1</v>
      </c>
      <c r="AO9" s="179">
        <v>1</v>
      </c>
      <c r="AP9" s="179">
        <v>1</v>
      </c>
      <c r="AQ9" s="179">
        <v>1</v>
      </c>
      <c r="AR9" s="179">
        <v>1</v>
      </c>
      <c r="AS9" s="179">
        <v>1</v>
      </c>
      <c r="AT9" s="179"/>
      <c r="AU9" s="179">
        <v>1</v>
      </c>
      <c r="AV9" s="179">
        <v>1</v>
      </c>
      <c r="AW9" s="179"/>
      <c r="AX9" s="179"/>
      <c r="AY9" s="179"/>
      <c r="AZ9" s="179"/>
      <c r="BA9" s="179"/>
      <c r="BB9" s="179"/>
      <c r="BC9" s="179">
        <f t="shared" ref="BC9:BC31" si="1">SUM(AA9:BB9)</f>
        <v>15</v>
      </c>
      <c r="BD9" s="191">
        <f t="shared" ref="BD9:BD31" si="2">(BC9*X9)+Y9+Z9</f>
        <v>14050</v>
      </c>
      <c r="BE9" s="179"/>
      <c r="BF9" s="179"/>
      <c r="BG9" s="179"/>
      <c r="BH9" s="179"/>
      <c r="BI9" s="179"/>
      <c r="BJ9" s="179"/>
      <c r="BK9" s="179"/>
      <c r="BL9" s="179"/>
      <c r="BM9" s="179"/>
      <c r="BN9" s="179"/>
      <c r="BO9" s="179"/>
      <c r="BP9" s="179"/>
      <c r="BQ9" s="179"/>
      <c r="BR9" s="179"/>
      <c r="BS9" s="179"/>
      <c r="BT9" s="179"/>
      <c r="BU9" s="179"/>
      <c r="BV9" s="179"/>
      <c r="BW9" s="179"/>
    </row>
    <row r="10" spans="2:75" ht="25.8" x14ac:dyDescent="0.65">
      <c r="B10" s="103">
        <v>1</v>
      </c>
      <c r="C10" s="61" t="s">
        <v>286</v>
      </c>
      <c r="D10" s="64">
        <v>80</v>
      </c>
      <c r="E10" s="61" t="s">
        <v>287</v>
      </c>
      <c r="F10" s="61"/>
      <c r="G10" s="70">
        <v>15000</v>
      </c>
      <c r="H10" s="63" t="s">
        <v>17</v>
      </c>
      <c r="I10" s="167">
        <v>45858</v>
      </c>
      <c r="J10" s="175"/>
      <c r="U10" s="179">
        <v>3</v>
      </c>
      <c r="V10" s="175" t="s">
        <v>134</v>
      </c>
      <c r="W10" s="150">
        <v>18500</v>
      </c>
      <c r="X10" s="150">
        <v>616.66666666666663</v>
      </c>
      <c r="Y10" s="150"/>
      <c r="Z10" s="150">
        <f t="shared" ref="Z10:Z31" si="3">$Z$6*BC11</f>
        <v>1400</v>
      </c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/>
      <c r="AY10" s="179"/>
      <c r="AZ10" s="179"/>
      <c r="BA10" s="179"/>
      <c r="BB10" s="179"/>
      <c r="BC10" s="179">
        <f t="shared" si="1"/>
        <v>0</v>
      </c>
      <c r="BD10" s="191">
        <f t="shared" si="2"/>
        <v>1400</v>
      </c>
      <c r="BE10" s="179"/>
      <c r="BF10" s="179"/>
      <c r="BG10" s="179"/>
      <c r="BH10" s="179"/>
      <c r="BI10" s="179"/>
      <c r="BJ10" s="179"/>
      <c r="BK10" s="179"/>
      <c r="BL10" s="179"/>
      <c r="BM10" s="179"/>
      <c r="BN10" s="179"/>
      <c r="BO10" s="179"/>
      <c r="BP10" s="179"/>
      <c r="BQ10" s="179"/>
      <c r="BR10" s="179"/>
      <c r="BS10" s="179"/>
      <c r="BT10" s="179"/>
      <c r="BU10" s="179"/>
      <c r="BV10" s="179"/>
      <c r="BW10" s="179"/>
    </row>
    <row r="11" spans="2:75" ht="25.8" x14ac:dyDescent="0.65">
      <c r="B11" s="104">
        <v>2</v>
      </c>
      <c r="C11" s="61"/>
      <c r="D11" s="64"/>
      <c r="E11" s="61"/>
      <c r="F11" s="61"/>
      <c r="G11" s="70"/>
      <c r="H11" s="63"/>
      <c r="I11" s="168"/>
      <c r="J11" s="175"/>
      <c r="U11" s="179">
        <v>4</v>
      </c>
      <c r="V11" s="175" t="s">
        <v>135</v>
      </c>
      <c r="W11" s="150">
        <v>15000</v>
      </c>
      <c r="X11" s="150">
        <v>500</v>
      </c>
      <c r="Y11" s="150"/>
      <c r="Z11" s="150">
        <f t="shared" si="3"/>
        <v>1400</v>
      </c>
      <c r="AA11" s="179"/>
      <c r="AB11" s="179"/>
      <c r="AC11" s="179"/>
      <c r="AD11" s="179"/>
      <c r="AE11" s="179"/>
      <c r="AF11" s="179"/>
      <c r="AG11" s="179">
        <v>1</v>
      </c>
      <c r="AH11" s="179">
        <v>1</v>
      </c>
      <c r="AI11" s="179">
        <v>1</v>
      </c>
      <c r="AJ11" s="179">
        <v>1</v>
      </c>
      <c r="AK11" s="179">
        <v>1</v>
      </c>
      <c r="AL11" s="179">
        <v>1</v>
      </c>
      <c r="AM11" s="179"/>
      <c r="AN11" s="179">
        <v>1</v>
      </c>
      <c r="AO11" s="179">
        <v>1</v>
      </c>
      <c r="AP11" s="179">
        <v>1</v>
      </c>
      <c r="AQ11" s="179">
        <v>1</v>
      </c>
      <c r="AR11" s="179">
        <v>1</v>
      </c>
      <c r="AS11" s="179">
        <v>1</v>
      </c>
      <c r="AT11" s="179"/>
      <c r="AU11" s="179">
        <v>1</v>
      </c>
      <c r="AV11" s="179">
        <v>1</v>
      </c>
      <c r="AW11" s="179"/>
      <c r="AX11" s="179"/>
      <c r="AY11" s="179"/>
      <c r="AZ11" s="179"/>
      <c r="BA11" s="179"/>
      <c r="BB11" s="179"/>
      <c r="BC11" s="179">
        <f t="shared" si="1"/>
        <v>14</v>
      </c>
      <c r="BD11" s="191">
        <f t="shared" si="2"/>
        <v>8400</v>
      </c>
      <c r="BE11" s="179"/>
      <c r="BF11" s="179"/>
      <c r="BG11" s="179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9"/>
      <c r="BS11" s="179"/>
      <c r="BT11" s="179"/>
      <c r="BU11" s="179"/>
      <c r="BV11" s="179"/>
      <c r="BW11" s="179"/>
    </row>
    <row r="12" spans="2:75" ht="25.8" x14ac:dyDescent="0.65">
      <c r="B12" s="104">
        <v>3</v>
      </c>
      <c r="C12" s="61"/>
      <c r="D12" s="64"/>
      <c r="E12" s="61"/>
      <c r="F12" s="61"/>
      <c r="G12" s="70"/>
      <c r="H12" s="63"/>
      <c r="I12" s="168"/>
      <c r="J12" s="175"/>
      <c r="U12" s="179">
        <v>5</v>
      </c>
      <c r="V12" s="175" t="s">
        <v>136</v>
      </c>
      <c r="W12" s="150">
        <v>14000</v>
      </c>
      <c r="X12" s="150">
        <v>466.66666666666669</v>
      </c>
      <c r="Y12" s="150"/>
      <c r="Z12" s="150">
        <f t="shared" si="3"/>
        <v>0</v>
      </c>
      <c r="AA12" s="179"/>
      <c r="AB12" s="179"/>
      <c r="AC12" s="179"/>
      <c r="AD12" s="179"/>
      <c r="AE12" s="179"/>
      <c r="AF12" s="179"/>
      <c r="AG12" s="179">
        <v>1</v>
      </c>
      <c r="AH12" s="179">
        <v>1</v>
      </c>
      <c r="AI12" s="179">
        <v>1</v>
      </c>
      <c r="AJ12" s="179">
        <v>1</v>
      </c>
      <c r="AK12" s="179">
        <v>1</v>
      </c>
      <c r="AL12" s="179">
        <v>1</v>
      </c>
      <c r="AM12" s="179"/>
      <c r="AN12" s="179">
        <v>1</v>
      </c>
      <c r="AO12" s="179">
        <v>1</v>
      </c>
      <c r="AP12" s="179">
        <v>1</v>
      </c>
      <c r="AQ12" s="179">
        <v>1</v>
      </c>
      <c r="AR12" s="179">
        <v>1</v>
      </c>
      <c r="AS12" s="179">
        <v>1</v>
      </c>
      <c r="AT12" s="179"/>
      <c r="AU12" s="179">
        <v>1</v>
      </c>
      <c r="AV12" s="179">
        <v>1</v>
      </c>
      <c r="AW12" s="179"/>
      <c r="AX12" s="179"/>
      <c r="AY12" s="179"/>
      <c r="AZ12" s="179"/>
      <c r="BA12" s="179"/>
      <c r="BB12" s="179"/>
      <c r="BC12" s="179">
        <f t="shared" si="1"/>
        <v>14</v>
      </c>
      <c r="BD12" s="191">
        <f t="shared" si="2"/>
        <v>6533.3333333333339</v>
      </c>
      <c r="BE12" s="179"/>
      <c r="BF12" s="179"/>
      <c r="BG12" s="179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</row>
    <row r="13" spans="2:75" ht="25.8" x14ac:dyDescent="0.65">
      <c r="B13" s="104">
        <v>4</v>
      </c>
      <c r="C13" s="61"/>
      <c r="D13" s="64"/>
      <c r="E13" s="61"/>
      <c r="F13" s="61"/>
      <c r="G13" s="70"/>
      <c r="H13" s="63"/>
      <c r="I13" s="168"/>
      <c r="J13" s="175"/>
      <c r="U13" s="179">
        <v>6</v>
      </c>
      <c r="V13" s="175" t="s">
        <v>137</v>
      </c>
      <c r="W13" s="150">
        <v>14000</v>
      </c>
      <c r="X13" s="150">
        <v>466.66666666666669</v>
      </c>
      <c r="Y13" s="150"/>
      <c r="Z13" s="150">
        <f t="shared" si="3"/>
        <v>0</v>
      </c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79">
        <f t="shared" si="1"/>
        <v>0</v>
      </c>
      <c r="BD13" s="191">
        <f t="shared" si="2"/>
        <v>0</v>
      </c>
      <c r="BE13" s="179"/>
      <c r="BF13" s="179"/>
      <c r="BG13" s="179"/>
      <c r="BH13" s="179"/>
      <c r="BI13" s="179"/>
      <c r="BJ13" s="179"/>
      <c r="BK13" s="179"/>
      <c r="BL13" s="179"/>
      <c r="BM13" s="179"/>
      <c r="BN13" s="179"/>
      <c r="BO13" s="179"/>
      <c r="BP13" s="179"/>
      <c r="BQ13" s="179"/>
      <c r="BR13" s="179"/>
      <c r="BS13" s="179"/>
      <c r="BT13" s="179"/>
      <c r="BU13" s="179"/>
      <c r="BV13" s="179"/>
      <c r="BW13" s="179"/>
    </row>
    <row r="14" spans="2:75" ht="25.8" x14ac:dyDescent="0.65">
      <c r="B14" s="104">
        <v>5</v>
      </c>
      <c r="C14" s="61"/>
      <c r="D14" s="64"/>
      <c r="E14" s="61"/>
      <c r="F14" s="61"/>
      <c r="G14" s="70"/>
      <c r="H14" s="63"/>
      <c r="I14" s="168"/>
      <c r="J14" s="175"/>
      <c r="U14" s="179">
        <v>78</v>
      </c>
      <c r="V14" s="175" t="s">
        <v>138</v>
      </c>
      <c r="W14" s="150">
        <v>13000</v>
      </c>
      <c r="X14" s="150">
        <v>433.33333333333331</v>
      </c>
      <c r="Y14" s="150"/>
      <c r="Z14" s="150">
        <f t="shared" si="3"/>
        <v>0</v>
      </c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>
        <f t="shared" si="1"/>
        <v>0</v>
      </c>
      <c r="BD14" s="191">
        <f t="shared" si="2"/>
        <v>0</v>
      </c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</row>
    <row r="15" spans="2:75" ht="26.4" customHeight="1" x14ac:dyDescent="0.65">
      <c r="B15" s="104">
        <v>6</v>
      </c>
      <c r="C15" s="159"/>
      <c r="D15" s="64"/>
      <c r="E15" s="61"/>
      <c r="F15" s="101"/>
      <c r="G15" s="70"/>
      <c r="H15" s="63"/>
      <c r="I15" s="168"/>
      <c r="J15" s="175"/>
      <c r="U15" s="179">
        <v>8</v>
      </c>
      <c r="V15" s="175" t="s">
        <v>139</v>
      </c>
      <c r="W15" s="150">
        <v>14000</v>
      </c>
      <c r="X15" s="150">
        <v>466.66666666666669</v>
      </c>
      <c r="Y15" s="150"/>
      <c r="Z15" s="150">
        <f t="shared" si="3"/>
        <v>0</v>
      </c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>
        <f t="shared" si="1"/>
        <v>0</v>
      </c>
      <c r="BD15" s="191">
        <f t="shared" si="2"/>
        <v>0</v>
      </c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</row>
    <row r="16" spans="2:75" ht="25.8" x14ac:dyDescent="0.65">
      <c r="B16" s="104">
        <v>7</v>
      </c>
      <c r="C16" s="60"/>
      <c r="D16" s="64"/>
      <c r="E16" s="60"/>
      <c r="F16" s="60"/>
      <c r="G16" s="62"/>
      <c r="H16" s="63"/>
      <c r="I16" s="168"/>
      <c r="J16" s="175"/>
      <c r="U16" s="179">
        <v>9</v>
      </c>
      <c r="V16" s="175" t="s">
        <v>140</v>
      </c>
      <c r="W16" s="150">
        <v>50000</v>
      </c>
      <c r="X16" s="150">
        <v>1666.6666666666667</v>
      </c>
      <c r="Y16" s="150"/>
      <c r="Z16" s="150">
        <f t="shared" si="3"/>
        <v>1400</v>
      </c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>
        <f t="shared" si="1"/>
        <v>0</v>
      </c>
      <c r="BD16" s="191">
        <f t="shared" si="2"/>
        <v>1400</v>
      </c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</row>
    <row r="17" spans="2:75" ht="25.8" x14ac:dyDescent="0.65">
      <c r="B17" s="104">
        <v>8</v>
      </c>
      <c r="C17" s="61"/>
      <c r="D17" s="64"/>
      <c r="E17" s="61"/>
      <c r="F17" s="61"/>
      <c r="G17" s="70"/>
      <c r="H17" s="63"/>
      <c r="I17" s="168"/>
      <c r="J17" s="175"/>
      <c r="U17" s="179">
        <v>10</v>
      </c>
      <c r="V17" s="175" t="s">
        <v>141</v>
      </c>
      <c r="W17" s="150">
        <v>17000</v>
      </c>
      <c r="X17" s="150">
        <v>566.66666666666663</v>
      </c>
      <c r="Y17" s="150"/>
      <c r="Z17" s="150">
        <f t="shared" si="3"/>
        <v>0</v>
      </c>
      <c r="AA17" s="179"/>
      <c r="AB17" s="179"/>
      <c r="AC17" s="179"/>
      <c r="AD17" s="179"/>
      <c r="AE17" s="179"/>
      <c r="AF17" s="179"/>
      <c r="AG17" s="179">
        <v>1</v>
      </c>
      <c r="AH17" s="179">
        <v>1</v>
      </c>
      <c r="AI17" s="179">
        <v>1</v>
      </c>
      <c r="AJ17" s="179">
        <v>1</v>
      </c>
      <c r="AK17" s="179">
        <v>1</v>
      </c>
      <c r="AL17" s="179">
        <v>1</v>
      </c>
      <c r="AM17" s="179"/>
      <c r="AN17" s="179">
        <v>1</v>
      </c>
      <c r="AO17" s="179">
        <v>1</v>
      </c>
      <c r="AP17" s="179">
        <v>1</v>
      </c>
      <c r="AQ17" s="179">
        <v>1</v>
      </c>
      <c r="AR17" s="179">
        <v>1</v>
      </c>
      <c r="AS17" s="179">
        <v>1</v>
      </c>
      <c r="AT17" s="179"/>
      <c r="AU17" s="179">
        <v>1</v>
      </c>
      <c r="AV17" s="179">
        <v>1</v>
      </c>
      <c r="AW17" s="179"/>
      <c r="AX17" s="179"/>
      <c r="AY17" s="179"/>
      <c r="AZ17" s="179"/>
      <c r="BA17" s="179"/>
      <c r="BB17" s="179"/>
      <c r="BC17" s="179">
        <f t="shared" si="1"/>
        <v>14</v>
      </c>
      <c r="BD17" s="191">
        <f t="shared" si="2"/>
        <v>7933.333333333333</v>
      </c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</row>
    <row r="18" spans="2:75" ht="25.8" x14ac:dyDescent="0.65">
      <c r="B18" s="104">
        <v>9</v>
      </c>
      <c r="C18" s="61"/>
      <c r="D18" s="64"/>
      <c r="E18" s="61"/>
      <c r="F18" s="61"/>
      <c r="G18" s="102"/>
      <c r="H18" s="63"/>
      <c r="I18" s="168"/>
      <c r="J18" s="175"/>
      <c r="U18" s="179">
        <v>11</v>
      </c>
      <c r="V18" s="175" t="s">
        <v>142</v>
      </c>
      <c r="W18" s="150">
        <v>20000</v>
      </c>
      <c r="X18" s="150">
        <v>666.66666666666663</v>
      </c>
      <c r="Y18" s="150"/>
      <c r="Z18" s="150">
        <f t="shared" si="3"/>
        <v>1400</v>
      </c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>
        <f t="shared" si="1"/>
        <v>0</v>
      </c>
      <c r="BD18" s="191">
        <f t="shared" si="2"/>
        <v>1400</v>
      </c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</row>
    <row r="19" spans="2:75" ht="25.8" x14ac:dyDescent="0.65">
      <c r="B19" s="104">
        <v>10</v>
      </c>
      <c r="C19" s="61"/>
      <c r="D19" s="64"/>
      <c r="E19" s="61"/>
      <c r="F19" s="61"/>
      <c r="G19" s="70"/>
      <c r="H19" s="63"/>
      <c r="I19" s="168"/>
      <c r="J19" s="175"/>
      <c r="U19" s="179">
        <v>12</v>
      </c>
      <c r="V19" s="175" t="s">
        <v>143</v>
      </c>
      <c r="W19" s="150">
        <v>4950</v>
      </c>
      <c r="X19" s="150">
        <v>450</v>
      </c>
      <c r="Y19" s="150"/>
      <c r="Z19" s="150">
        <f t="shared" si="3"/>
        <v>0</v>
      </c>
      <c r="AA19" s="179"/>
      <c r="AB19" s="179"/>
      <c r="AC19" s="179"/>
      <c r="AD19" s="179"/>
      <c r="AE19" s="179"/>
      <c r="AF19" s="179"/>
      <c r="AG19" s="179">
        <v>1</v>
      </c>
      <c r="AH19" s="179">
        <v>1</v>
      </c>
      <c r="AI19" s="179">
        <v>1</v>
      </c>
      <c r="AJ19" s="179">
        <v>1</v>
      </c>
      <c r="AK19" s="179">
        <v>1</v>
      </c>
      <c r="AL19" s="179">
        <v>1</v>
      </c>
      <c r="AM19" s="179"/>
      <c r="AN19" s="179">
        <v>1</v>
      </c>
      <c r="AO19" s="179">
        <v>1</v>
      </c>
      <c r="AP19" s="179">
        <v>1</v>
      </c>
      <c r="AQ19" s="179">
        <v>1</v>
      </c>
      <c r="AR19" s="179">
        <v>1</v>
      </c>
      <c r="AS19" s="179">
        <v>1</v>
      </c>
      <c r="AT19" s="179"/>
      <c r="AU19" s="179">
        <v>1</v>
      </c>
      <c r="AV19" s="179">
        <v>1</v>
      </c>
      <c r="AW19" s="179"/>
      <c r="AX19" s="179"/>
      <c r="AY19" s="179"/>
      <c r="AZ19" s="179"/>
      <c r="BA19" s="179"/>
      <c r="BB19" s="179"/>
      <c r="BC19" s="179">
        <f t="shared" si="1"/>
        <v>14</v>
      </c>
      <c r="BD19" s="191">
        <f t="shared" si="2"/>
        <v>6300</v>
      </c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79"/>
    </row>
    <row r="20" spans="2:75" ht="25.8" x14ac:dyDescent="0.65">
      <c r="B20" s="104">
        <v>11</v>
      </c>
      <c r="C20" s="61"/>
      <c r="D20" s="64"/>
      <c r="E20" s="61"/>
      <c r="F20" s="61"/>
      <c r="G20" s="70"/>
      <c r="H20" s="63"/>
      <c r="I20" s="168"/>
      <c r="J20" s="175"/>
      <c r="U20" s="179">
        <v>13</v>
      </c>
      <c r="V20" s="189" t="s">
        <v>144</v>
      </c>
      <c r="W20" s="190">
        <v>3300</v>
      </c>
      <c r="X20" s="190">
        <v>300</v>
      </c>
      <c r="Y20" s="150"/>
      <c r="Z20" s="150">
        <f t="shared" si="3"/>
        <v>0</v>
      </c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79"/>
      <c r="BA20" s="179"/>
      <c r="BB20" s="179"/>
      <c r="BC20" s="179">
        <f t="shared" si="1"/>
        <v>0</v>
      </c>
      <c r="BD20" s="191">
        <f t="shared" si="2"/>
        <v>0</v>
      </c>
      <c r="BE20" s="179"/>
      <c r="BF20" s="179"/>
      <c r="BG20" s="179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</row>
    <row r="21" spans="2:75" ht="25.8" x14ac:dyDescent="0.65">
      <c r="B21" s="104">
        <v>12</v>
      </c>
      <c r="C21" s="61"/>
      <c r="D21" s="64"/>
      <c r="E21" s="61"/>
      <c r="F21" s="61"/>
      <c r="G21" s="70"/>
      <c r="H21" s="63"/>
      <c r="I21" s="168"/>
      <c r="J21" s="175"/>
      <c r="U21" s="179">
        <v>14</v>
      </c>
      <c r="V21" s="189" t="s">
        <v>145</v>
      </c>
      <c r="W21" s="190">
        <v>3300</v>
      </c>
      <c r="X21" s="190">
        <v>300</v>
      </c>
      <c r="Y21" s="150"/>
      <c r="Z21" s="150">
        <f t="shared" si="3"/>
        <v>0</v>
      </c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>
        <f t="shared" si="1"/>
        <v>0</v>
      </c>
      <c r="BD21" s="191">
        <f t="shared" si="2"/>
        <v>0</v>
      </c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</row>
    <row r="22" spans="2:75" ht="25.8" x14ac:dyDescent="0.65">
      <c r="B22" s="104">
        <v>13</v>
      </c>
      <c r="C22" s="61"/>
      <c r="D22" s="64"/>
      <c r="E22" s="61"/>
      <c r="F22" s="61"/>
      <c r="G22" s="70"/>
      <c r="H22" s="63"/>
      <c r="I22" s="168"/>
      <c r="J22" s="175"/>
      <c r="U22" s="179">
        <v>15</v>
      </c>
      <c r="V22" s="189" t="s">
        <v>146</v>
      </c>
      <c r="W22" s="190">
        <v>3300</v>
      </c>
      <c r="X22" s="190">
        <v>300</v>
      </c>
      <c r="Y22" s="150"/>
      <c r="Z22" s="150">
        <f t="shared" si="3"/>
        <v>0</v>
      </c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>
        <f t="shared" si="1"/>
        <v>0</v>
      </c>
      <c r="BD22" s="191">
        <f t="shared" si="2"/>
        <v>0</v>
      </c>
      <c r="BE22" s="179"/>
      <c r="BF22" s="179"/>
      <c r="BG22" s="179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79"/>
    </row>
    <row r="23" spans="2:75" ht="25.8" x14ac:dyDescent="0.65">
      <c r="B23" s="104">
        <v>14</v>
      </c>
      <c r="C23" s="61"/>
      <c r="D23" s="64"/>
      <c r="E23" s="61"/>
      <c r="F23" s="61"/>
      <c r="G23" s="70"/>
      <c r="H23" s="63"/>
      <c r="I23" s="168"/>
      <c r="J23" s="175"/>
      <c r="U23" s="179">
        <v>16</v>
      </c>
      <c r="V23" s="189" t="s">
        <v>147</v>
      </c>
      <c r="W23" s="190">
        <v>3300</v>
      </c>
      <c r="X23" s="190">
        <v>300</v>
      </c>
      <c r="Y23" s="150"/>
      <c r="Z23" s="150">
        <f t="shared" si="3"/>
        <v>1900</v>
      </c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9"/>
      <c r="BB23" s="179"/>
      <c r="BC23" s="179">
        <f t="shared" si="1"/>
        <v>0</v>
      </c>
      <c r="BD23" s="191">
        <f t="shared" si="2"/>
        <v>1900</v>
      </c>
      <c r="BE23" s="179"/>
      <c r="BF23" s="179"/>
      <c r="BG23" s="179"/>
      <c r="BH23" s="179"/>
      <c r="BI23" s="179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79"/>
    </row>
    <row r="24" spans="2:75" ht="25.8" x14ac:dyDescent="0.65">
      <c r="B24" s="193">
        <v>15</v>
      </c>
      <c r="C24" s="61"/>
      <c r="D24" s="64"/>
      <c r="E24" s="61"/>
      <c r="F24" s="61"/>
      <c r="G24" s="70"/>
      <c r="H24" s="63"/>
      <c r="I24" s="168"/>
      <c r="J24" s="175"/>
      <c r="U24" s="179">
        <v>17</v>
      </c>
      <c r="V24" s="175" t="s">
        <v>148</v>
      </c>
      <c r="W24" s="150">
        <v>2700</v>
      </c>
      <c r="X24" s="150">
        <v>300</v>
      </c>
      <c r="Y24" s="150"/>
      <c r="Z24" s="150">
        <f t="shared" si="3"/>
        <v>1900</v>
      </c>
      <c r="AA24" s="179">
        <v>1</v>
      </c>
      <c r="AB24" s="179">
        <v>1</v>
      </c>
      <c r="AC24" s="179">
        <v>1</v>
      </c>
      <c r="AD24" s="179">
        <v>1</v>
      </c>
      <c r="AE24" s="179">
        <v>1</v>
      </c>
      <c r="AF24" s="179"/>
      <c r="AG24" s="179">
        <v>1</v>
      </c>
      <c r="AH24" s="179">
        <v>1</v>
      </c>
      <c r="AI24" s="179">
        <v>1</v>
      </c>
      <c r="AJ24" s="179">
        <v>1</v>
      </c>
      <c r="AK24" s="179">
        <v>1</v>
      </c>
      <c r="AL24" s="179">
        <v>1</v>
      </c>
      <c r="AM24" s="179"/>
      <c r="AN24" s="179">
        <v>1</v>
      </c>
      <c r="AO24" s="179">
        <v>1</v>
      </c>
      <c r="AP24" s="179">
        <v>1</v>
      </c>
      <c r="AQ24" s="179">
        <v>1</v>
      </c>
      <c r="AR24" s="179">
        <v>1</v>
      </c>
      <c r="AS24" s="179">
        <v>1</v>
      </c>
      <c r="AT24" s="179"/>
      <c r="AU24" s="179">
        <v>1</v>
      </c>
      <c r="AV24" s="179">
        <v>1</v>
      </c>
      <c r="AW24" s="179"/>
      <c r="AX24" s="179"/>
      <c r="AY24" s="179"/>
      <c r="AZ24" s="179"/>
      <c r="BA24" s="179"/>
      <c r="BB24" s="179"/>
      <c r="BC24" s="179">
        <f t="shared" si="1"/>
        <v>19</v>
      </c>
      <c r="BD24" s="191">
        <f t="shared" si="2"/>
        <v>7600</v>
      </c>
      <c r="BE24" s="179"/>
      <c r="BF24" s="179"/>
      <c r="BG24" s="179"/>
      <c r="BH24" s="179"/>
      <c r="BI24" s="179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79"/>
    </row>
    <row r="25" spans="2:75" ht="25.8" x14ac:dyDescent="0.65">
      <c r="B25" s="104">
        <v>16</v>
      </c>
      <c r="C25" s="61"/>
      <c r="D25" s="64"/>
      <c r="E25" s="61"/>
      <c r="F25" s="61"/>
      <c r="G25" s="70"/>
      <c r="H25" s="161"/>
      <c r="I25" s="168"/>
      <c r="J25" s="175"/>
      <c r="U25" s="179">
        <v>18</v>
      </c>
      <c r="V25" s="175" t="s">
        <v>149</v>
      </c>
      <c r="W25" s="150">
        <v>2200</v>
      </c>
      <c r="X25" s="150">
        <v>200</v>
      </c>
      <c r="Y25" s="150"/>
      <c r="Z25" s="150">
        <f t="shared" si="3"/>
        <v>1900</v>
      </c>
      <c r="AA25" s="179">
        <v>1</v>
      </c>
      <c r="AB25" s="179">
        <v>1</v>
      </c>
      <c r="AC25" s="179">
        <v>1</v>
      </c>
      <c r="AD25" s="179">
        <v>1</v>
      </c>
      <c r="AE25" s="179">
        <v>1</v>
      </c>
      <c r="AF25" s="179"/>
      <c r="AG25" s="179">
        <v>1</v>
      </c>
      <c r="AH25" s="179">
        <v>1</v>
      </c>
      <c r="AI25" s="179">
        <v>1</v>
      </c>
      <c r="AJ25" s="179">
        <v>1</v>
      </c>
      <c r="AK25" s="179">
        <v>1</v>
      </c>
      <c r="AL25" s="179">
        <v>1</v>
      </c>
      <c r="AM25" s="179"/>
      <c r="AN25" s="179">
        <v>1</v>
      </c>
      <c r="AO25" s="179">
        <v>1</v>
      </c>
      <c r="AP25" s="179">
        <v>1</v>
      </c>
      <c r="AQ25" s="179">
        <v>1</v>
      </c>
      <c r="AR25" s="179">
        <v>1</v>
      </c>
      <c r="AS25" s="179">
        <v>1</v>
      </c>
      <c r="AT25" s="179"/>
      <c r="AU25" s="179">
        <v>1</v>
      </c>
      <c r="AV25" s="179">
        <v>1</v>
      </c>
      <c r="AW25" s="179"/>
      <c r="AX25" s="179"/>
      <c r="AY25" s="179"/>
      <c r="AZ25" s="179"/>
      <c r="BA25" s="179"/>
      <c r="BB25" s="179"/>
      <c r="BC25" s="179">
        <f t="shared" si="1"/>
        <v>19</v>
      </c>
      <c r="BD25" s="191">
        <f t="shared" si="2"/>
        <v>5700</v>
      </c>
      <c r="BE25" s="179"/>
      <c r="BF25" s="179"/>
      <c r="BG25" s="179"/>
      <c r="BH25" s="179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79"/>
    </row>
    <row r="26" spans="2:75" ht="25.8" x14ac:dyDescent="0.65">
      <c r="B26" s="104">
        <v>17</v>
      </c>
      <c r="C26" s="61"/>
      <c r="D26" s="64"/>
      <c r="E26" s="61"/>
      <c r="F26" s="61"/>
      <c r="G26" s="70"/>
      <c r="H26" s="161"/>
      <c r="I26" s="168"/>
      <c r="J26" s="175"/>
      <c r="U26" s="179">
        <v>19</v>
      </c>
      <c r="V26" s="175" t="s">
        <v>150</v>
      </c>
      <c r="W26" s="150">
        <v>1440</v>
      </c>
      <c r="X26" s="150">
        <v>180</v>
      </c>
      <c r="Y26" s="150"/>
      <c r="Z26" s="150">
        <f t="shared" si="3"/>
        <v>0</v>
      </c>
      <c r="AA26" s="179">
        <v>1</v>
      </c>
      <c r="AB26" s="179">
        <v>1</v>
      </c>
      <c r="AC26" s="179">
        <v>1</v>
      </c>
      <c r="AD26" s="179">
        <v>1</v>
      </c>
      <c r="AE26" s="179">
        <v>1</v>
      </c>
      <c r="AF26" s="179"/>
      <c r="AG26" s="179">
        <v>1</v>
      </c>
      <c r="AH26" s="179">
        <v>1</v>
      </c>
      <c r="AI26" s="179">
        <v>1</v>
      </c>
      <c r="AJ26" s="179">
        <v>1</v>
      </c>
      <c r="AK26" s="179">
        <v>1</v>
      </c>
      <c r="AL26" s="179">
        <v>1</v>
      </c>
      <c r="AM26" s="179"/>
      <c r="AN26" s="179">
        <v>1</v>
      </c>
      <c r="AO26" s="179">
        <v>1</v>
      </c>
      <c r="AP26" s="179">
        <v>1</v>
      </c>
      <c r="AQ26" s="179">
        <v>1</v>
      </c>
      <c r="AR26" s="179">
        <v>1</v>
      </c>
      <c r="AS26" s="179">
        <v>1</v>
      </c>
      <c r="AT26" s="179"/>
      <c r="AU26" s="179">
        <v>1</v>
      </c>
      <c r="AV26" s="179">
        <v>1</v>
      </c>
      <c r="AW26" s="179"/>
      <c r="AX26" s="179"/>
      <c r="AY26" s="179"/>
      <c r="AZ26" s="179"/>
      <c r="BA26" s="179"/>
      <c r="BB26" s="179"/>
      <c r="BC26" s="179">
        <f t="shared" si="1"/>
        <v>19</v>
      </c>
      <c r="BD26" s="191">
        <f t="shared" si="2"/>
        <v>3420</v>
      </c>
      <c r="BE26" s="179"/>
      <c r="BF26" s="179"/>
      <c r="BG26" s="179"/>
      <c r="BH26" s="179"/>
      <c r="BI26" s="179"/>
      <c r="BJ26" s="179"/>
      <c r="BK26" s="179"/>
      <c r="BL26" s="179"/>
      <c r="BM26" s="179"/>
      <c r="BN26" s="179"/>
      <c r="BO26" s="179"/>
      <c r="BP26" s="179"/>
      <c r="BQ26" s="179"/>
      <c r="BR26" s="179"/>
      <c r="BS26" s="179"/>
      <c r="BT26" s="179"/>
      <c r="BU26" s="179"/>
      <c r="BV26" s="179"/>
      <c r="BW26" s="179"/>
    </row>
    <row r="27" spans="2:75" ht="25.8" x14ac:dyDescent="0.65">
      <c r="B27" s="104">
        <v>18</v>
      </c>
      <c r="C27" s="61"/>
      <c r="D27" s="64"/>
      <c r="E27" s="61"/>
      <c r="F27" s="61"/>
      <c r="G27" s="70"/>
      <c r="H27" s="63"/>
      <c r="I27" s="168"/>
      <c r="J27" s="175"/>
      <c r="U27" s="179">
        <v>20</v>
      </c>
      <c r="V27" s="175" t="s">
        <v>151</v>
      </c>
      <c r="W27" s="150">
        <v>2160</v>
      </c>
      <c r="X27" s="150">
        <v>180</v>
      </c>
      <c r="Y27" s="150"/>
      <c r="Z27" s="150">
        <f t="shared" si="3"/>
        <v>1400</v>
      </c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>
        <f t="shared" si="1"/>
        <v>0</v>
      </c>
      <c r="BD27" s="191">
        <f t="shared" si="2"/>
        <v>1400</v>
      </c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</row>
    <row r="28" spans="2:75" ht="25.8" x14ac:dyDescent="0.65">
      <c r="B28" s="104">
        <v>19</v>
      </c>
      <c r="C28" s="61"/>
      <c r="D28" s="64"/>
      <c r="E28" s="61"/>
      <c r="F28" s="61"/>
      <c r="G28" s="70"/>
      <c r="H28" s="163"/>
      <c r="I28" s="168"/>
      <c r="J28" s="175"/>
      <c r="U28" s="179">
        <v>21</v>
      </c>
      <c r="V28" s="175" t="s">
        <v>152</v>
      </c>
      <c r="W28" s="150">
        <v>1980</v>
      </c>
      <c r="X28" s="150">
        <v>180</v>
      </c>
      <c r="Y28" s="150"/>
      <c r="Z28" s="150">
        <f t="shared" si="3"/>
        <v>0</v>
      </c>
      <c r="AA28" s="179"/>
      <c r="AB28" s="179"/>
      <c r="AC28" s="179"/>
      <c r="AD28" s="179"/>
      <c r="AE28" s="179"/>
      <c r="AF28" s="179"/>
      <c r="AG28" s="179">
        <v>1</v>
      </c>
      <c r="AH28" s="179">
        <v>1</v>
      </c>
      <c r="AI28" s="179">
        <v>1</v>
      </c>
      <c r="AJ28" s="179">
        <v>1</v>
      </c>
      <c r="AK28" s="179">
        <v>1</v>
      </c>
      <c r="AL28" s="179">
        <v>1</v>
      </c>
      <c r="AM28" s="179"/>
      <c r="AN28" s="179">
        <v>1</v>
      </c>
      <c r="AO28" s="179">
        <v>1</v>
      </c>
      <c r="AP28" s="179">
        <v>1</v>
      </c>
      <c r="AQ28" s="179">
        <v>1</v>
      </c>
      <c r="AR28" s="179">
        <v>1</v>
      </c>
      <c r="AS28" s="179">
        <v>1</v>
      </c>
      <c r="AT28" s="179"/>
      <c r="AU28" s="179">
        <v>1</v>
      </c>
      <c r="AV28" s="179">
        <v>1</v>
      </c>
      <c r="AW28" s="179"/>
      <c r="AX28" s="179"/>
      <c r="AY28" s="179"/>
      <c r="AZ28" s="179"/>
      <c r="BA28" s="179"/>
      <c r="BB28" s="179"/>
      <c r="BC28" s="179">
        <f t="shared" si="1"/>
        <v>14</v>
      </c>
      <c r="BD28" s="191">
        <f t="shared" si="2"/>
        <v>2520</v>
      </c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79"/>
    </row>
    <row r="29" spans="2:75" ht="25.8" x14ac:dyDescent="0.65">
      <c r="B29" s="104">
        <v>20</v>
      </c>
      <c r="C29" s="61"/>
      <c r="D29" s="64"/>
      <c r="E29" s="61"/>
      <c r="F29" s="61"/>
      <c r="G29" s="70"/>
      <c r="H29" s="163"/>
      <c r="I29" s="168"/>
      <c r="J29" s="175"/>
      <c r="U29" s="179">
        <v>22</v>
      </c>
      <c r="V29" s="175" t="s">
        <v>153</v>
      </c>
      <c r="W29" s="150">
        <v>1440</v>
      </c>
      <c r="X29" s="150">
        <v>180</v>
      </c>
      <c r="Y29" s="150"/>
      <c r="Z29" s="150">
        <f t="shared" si="3"/>
        <v>0</v>
      </c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>
        <f t="shared" si="1"/>
        <v>0</v>
      </c>
      <c r="BD29" s="191">
        <f t="shared" si="2"/>
        <v>0</v>
      </c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79"/>
    </row>
    <row r="30" spans="2:75" ht="25.8" x14ac:dyDescent="0.65">
      <c r="B30" s="104">
        <v>21</v>
      </c>
      <c r="C30" s="61"/>
      <c r="D30" s="64"/>
      <c r="E30" s="61"/>
      <c r="F30" s="61"/>
      <c r="G30" s="70"/>
      <c r="H30" s="163"/>
      <c r="I30" s="168"/>
      <c r="J30" s="175"/>
      <c r="U30" s="179">
        <v>23</v>
      </c>
      <c r="V30" s="175" t="s">
        <v>154</v>
      </c>
      <c r="W30" s="150">
        <v>2160</v>
      </c>
      <c r="X30" s="150">
        <v>180</v>
      </c>
      <c r="Y30" s="150"/>
      <c r="Z30" s="150">
        <f t="shared" si="3"/>
        <v>1400</v>
      </c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>
        <f t="shared" si="1"/>
        <v>0</v>
      </c>
      <c r="BD30" s="191">
        <f t="shared" si="2"/>
        <v>1400</v>
      </c>
      <c r="BE30" s="179"/>
      <c r="BF30" s="179"/>
      <c r="BG30" s="179"/>
      <c r="BH30" s="179"/>
      <c r="BI30" s="179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</row>
    <row r="31" spans="2:75" ht="25.8" x14ac:dyDescent="0.65">
      <c r="B31" s="104">
        <v>22</v>
      </c>
      <c r="C31" s="61"/>
      <c r="D31" s="64"/>
      <c r="E31" s="61"/>
      <c r="F31" s="61"/>
      <c r="G31" s="70"/>
      <c r="H31" s="163"/>
      <c r="I31" s="168"/>
      <c r="J31" s="175"/>
      <c r="U31" s="179">
        <v>24</v>
      </c>
      <c r="V31" s="175" t="s">
        <v>155</v>
      </c>
      <c r="W31" s="150">
        <v>1980</v>
      </c>
      <c r="X31" s="150">
        <v>180</v>
      </c>
      <c r="Y31" s="150"/>
      <c r="Z31" s="150">
        <f t="shared" si="3"/>
        <v>0</v>
      </c>
      <c r="AA31" s="179"/>
      <c r="AB31" s="179"/>
      <c r="AC31" s="179"/>
      <c r="AD31" s="179"/>
      <c r="AE31" s="179"/>
      <c r="AF31" s="179"/>
      <c r="AG31" s="179">
        <v>1</v>
      </c>
      <c r="AH31" s="179">
        <v>1</v>
      </c>
      <c r="AI31" s="179">
        <v>1</v>
      </c>
      <c r="AJ31" s="179">
        <v>1</v>
      </c>
      <c r="AK31" s="179">
        <v>1</v>
      </c>
      <c r="AL31" s="179">
        <v>1</v>
      </c>
      <c r="AM31" s="179"/>
      <c r="AN31" s="179">
        <v>1</v>
      </c>
      <c r="AO31" s="179">
        <v>1</v>
      </c>
      <c r="AP31" s="179">
        <v>1</v>
      </c>
      <c r="AQ31" s="179">
        <v>1</v>
      </c>
      <c r="AR31" s="179">
        <v>1</v>
      </c>
      <c r="AS31" s="179">
        <v>1</v>
      </c>
      <c r="AT31" s="179"/>
      <c r="AU31" s="179">
        <v>1</v>
      </c>
      <c r="AV31" s="179">
        <v>1</v>
      </c>
      <c r="AW31" s="179"/>
      <c r="AX31" s="179"/>
      <c r="AY31" s="179"/>
      <c r="AZ31" s="179"/>
      <c r="BA31" s="179"/>
      <c r="BB31" s="179"/>
      <c r="BC31" s="179">
        <f t="shared" si="1"/>
        <v>14</v>
      </c>
      <c r="BD31" s="191">
        <f t="shared" si="2"/>
        <v>2520</v>
      </c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</row>
    <row r="32" spans="2:75" ht="26.4" thickBot="1" x14ac:dyDescent="0.7">
      <c r="B32" s="104">
        <v>23</v>
      </c>
      <c r="C32" s="61"/>
      <c r="D32" s="64"/>
      <c r="E32" s="61"/>
      <c r="F32" s="61"/>
      <c r="G32" s="70"/>
      <c r="H32" s="163"/>
      <c r="I32" s="168"/>
      <c r="J32" s="175"/>
      <c r="BD32" s="192">
        <f>SUM(BD8:BD31)</f>
        <v>89976.666666666672</v>
      </c>
    </row>
    <row r="33" spans="2:10" ht="26.4" thickTop="1" x14ac:dyDescent="0.65">
      <c r="B33" s="104">
        <v>24</v>
      </c>
      <c r="C33" s="61"/>
      <c r="D33" s="64"/>
      <c r="E33" s="61"/>
      <c r="F33" s="61"/>
      <c r="G33" s="70"/>
      <c r="H33" s="163"/>
      <c r="I33" s="168"/>
      <c r="J33" s="175"/>
    </row>
    <row r="34" spans="2:10" ht="25.8" x14ac:dyDescent="0.65">
      <c r="B34" s="104">
        <v>25</v>
      </c>
      <c r="C34" s="61"/>
      <c r="D34" s="64"/>
      <c r="E34" s="61"/>
      <c r="F34" s="61"/>
      <c r="G34" s="70"/>
      <c r="H34" s="163"/>
      <c r="I34" s="168"/>
      <c r="J34" s="175"/>
    </row>
    <row r="35" spans="2:10" ht="25.8" x14ac:dyDescent="0.65">
      <c r="B35" s="104">
        <v>26</v>
      </c>
      <c r="C35" s="61"/>
      <c r="D35" s="64"/>
      <c r="E35" s="61"/>
      <c r="F35" s="61"/>
      <c r="G35" s="70"/>
      <c r="H35" s="163"/>
      <c r="I35" s="168"/>
      <c r="J35" s="175"/>
    </row>
    <row r="36" spans="2:10" ht="25.8" x14ac:dyDescent="0.65">
      <c r="B36" s="193">
        <v>27</v>
      </c>
      <c r="C36" s="61"/>
      <c r="D36" s="64"/>
      <c r="E36" s="61"/>
      <c r="F36" s="61"/>
      <c r="G36" s="70"/>
      <c r="H36" s="163"/>
      <c r="I36" s="168"/>
      <c r="J36" s="175"/>
    </row>
    <row r="37" spans="2:10" ht="25.8" x14ac:dyDescent="0.65">
      <c r="B37" s="104">
        <v>28</v>
      </c>
      <c r="C37" s="61"/>
      <c r="D37" s="64"/>
      <c r="E37" s="61"/>
      <c r="F37" s="61"/>
      <c r="G37" s="70"/>
      <c r="H37" s="163"/>
      <c r="I37" s="168"/>
      <c r="J37" s="175"/>
    </row>
    <row r="38" spans="2:10" ht="25.8" x14ac:dyDescent="0.65">
      <c r="B38" s="104">
        <v>29</v>
      </c>
      <c r="C38" s="61"/>
      <c r="D38" s="64"/>
      <c r="E38" s="61"/>
      <c r="F38" s="61"/>
      <c r="G38" s="70"/>
      <c r="H38" s="163"/>
      <c r="I38" s="168"/>
      <c r="J38" s="175"/>
    </row>
    <row r="39" spans="2:10" ht="25.8" x14ac:dyDescent="0.65">
      <c r="B39" s="104">
        <v>30</v>
      </c>
      <c r="C39" s="61"/>
      <c r="D39" s="64"/>
      <c r="E39" s="61"/>
      <c r="F39" s="61"/>
      <c r="G39" s="70"/>
      <c r="H39" s="163"/>
      <c r="I39" s="168"/>
      <c r="J39" s="175"/>
    </row>
    <row r="40" spans="2:10" ht="25.8" x14ac:dyDescent="0.65">
      <c r="B40" s="104">
        <v>31</v>
      </c>
      <c r="C40" s="47"/>
      <c r="D40" s="64"/>
      <c r="E40" s="47"/>
      <c r="F40" s="47"/>
      <c r="G40" s="49"/>
      <c r="H40" s="48"/>
      <c r="I40" s="168"/>
      <c r="J40" s="175"/>
    </row>
    <row r="41" spans="2:10" ht="25.8" x14ac:dyDescent="0.65">
      <c r="B41" s="104">
        <v>32</v>
      </c>
      <c r="C41" s="47"/>
      <c r="D41" s="64"/>
      <c r="E41" s="47"/>
      <c r="F41" s="47"/>
      <c r="G41" s="49"/>
      <c r="H41" s="48"/>
      <c r="I41" s="168"/>
      <c r="J41" s="175"/>
    </row>
    <row r="42" spans="2:10" ht="25.8" x14ac:dyDescent="0.65">
      <c r="B42" s="104">
        <v>33</v>
      </c>
      <c r="C42" s="47"/>
      <c r="D42" s="64"/>
      <c r="E42" s="47"/>
      <c r="F42" s="47"/>
      <c r="G42" s="49"/>
      <c r="H42" s="48"/>
      <c r="I42" s="168"/>
      <c r="J42" s="175"/>
    </row>
    <row r="43" spans="2:10" ht="25.8" x14ac:dyDescent="0.65">
      <c r="B43" s="104">
        <v>34</v>
      </c>
      <c r="C43" s="47"/>
      <c r="D43" s="64"/>
      <c r="E43" s="47"/>
      <c r="F43" s="47"/>
      <c r="G43" s="49"/>
      <c r="H43" s="48"/>
      <c r="I43" s="168"/>
      <c r="J43" s="175"/>
    </row>
    <row r="44" spans="2:10" ht="25.8" x14ac:dyDescent="0.65">
      <c r="B44" s="104">
        <v>35</v>
      </c>
      <c r="C44" s="47"/>
      <c r="D44" s="64"/>
      <c r="E44" s="47"/>
      <c r="F44" s="47"/>
      <c r="G44" s="49"/>
      <c r="H44" s="48"/>
      <c r="I44" s="168"/>
      <c r="J44" s="175"/>
    </row>
    <row r="45" spans="2:10" ht="25.8" x14ac:dyDescent="0.65">
      <c r="B45" s="104">
        <v>36</v>
      </c>
      <c r="C45" s="47"/>
      <c r="D45" s="64"/>
      <c r="E45" s="47"/>
      <c r="F45" s="47"/>
      <c r="G45" s="49"/>
      <c r="H45" s="48"/>
      <c r="I45" s="168"/>
      <c r="J45" s="175"/>
    </row>
    <row r="46" spans="2:10" ht="25.8" x14ac:dyDescent="0.65">
      <c r="B46" s="104">
        <v>37</v>
      </c>
      <c r="C46" s="47"/>
      <c r="D46" s="64"/>
      <c r="E46" s="47"/>
      <c r="F46" s="47"/>
      <c r="G46" s="49"/>
      <c r="H46" s="48"/>
      <c r="I46" s="168"/>
      <c r="J46" s="175"/>
    </row>
    <row r="47" spans="2:10" ht="18" x14ac:dyDescent="0.45">
      <c r="B47" s="7"/>
      <c r="C47" s="12"/>
      <c r="D47" s="9"/>
      <c r="E47" s="9"/>
      <c r="F47" s="32" t="s">
        <v>18</v>
      </c>
      <c r="G47" s="33">
        <f>SUM(G9:G46)</f>
        <v>15000</v>
      </c>
      <c r="H47" s="12"/>
      <c r="I47" s="7"/>
    </row>
    <row r="48" spans="2:10" ht="18" x14ac:dyDescent="0.45">
      <c r="B48" s="7"/>
      <c r="C48" s="12"/>
      <c r="D48" s="9"/>
      <c r="E48" s="9"/>
      <c r="F48" s="34" t="s">
        <v>19</v>
      </c>
      <c r="G48" s="35">
        <f>$C$6-G47</f>
        <v>10075000</v>
      </c>
      <c r="H48" s="12"/>
      <c r="I48" s="7"/>
    </row>
    <row r="49" spans="2:13" ht="18" x14ac:dyDescent="0.45">
      <c r="B49" s="7"/>
      <c r="C49" s="12"/>
      <c r="D49" s="9"/>
      <c r="E49" s="9"/>
      <c r="F49" s="12"/>
      <c r="G49" s="12"/>
      <c r="H49" s="12"/>
      <c r="I49" s="7"/>
    </row>
    <row r="50" spans="2:13" ht="18" x14ac:dyDescent="0.45">
      <c r="B50" s="7"/>
      <c r="C50" s="12"/>
      <c r="D50" s="9"/>
      <c r="E50" s="9"/>
      <c r="F50" s="36" t="s">
        <v>20</v>
      </c>
      <c r="G50" s="37">
        <f>G48/C6</f>
        <v>0.99851337958374631</v>
      </c>
      <c r="H50" s="38"/>
      <c r="I50" s="7"/>
    </row>
    <row r="51" spans="2:13" ht="26.4" x14ac:dyDescent="0.55000000000000004">
      <c r="B51" s="4"/>
      <c r="C51" s="11"/>
      <c r="D51" s="9"/>
      <c r="E51" s="10"/>
      <c r="F51" s="10"/>
      <c r="G51" s="3"/>
      <c r="H51" s="7"/>
      <c r="I51" s="7"/>
    </row>
    <row r="52" spans="2:13" ht="26.4" x14ac:dyDescent="0.55000000000000004">
      <c r="B52" s="143" t="s">
        <v>79</v>
      </c>
      <c r="C52" s="164" t="str">
        <f>'All Job balance report'!B14</f>
        <v>TMD-2601/001</v>
      </c>
      <c r="D52" s="12"/>
      <c r="E52" s="13"/>
      <c r="F52" s="10"/>
      <c r="G52" s="3"/>
      <c r="H52" s="7"/>
      <c r="I52" s="7"/>
    </row>
    <row r="53" spans="2:13" ht="22.2" x14ac:dyDescent="0.55000000000000004">
      <c r="B53" s="82" t="s">
        <v>7</v>
      </c>
      <c r="C53" s="85">
        <f>'All Job balance report'!G14</f>
        <v>42000</v>
      </c>
      <c r="D53" s="15"/>
      <c r="E53" s="17"/>
      <c r="F53" s="18"/>
      <c r="G53" s="18"/>
      <c r="H53" s="18"/>
      <c r="I53" s="18"/>
    </row>
    <row r="54" spans="2:13" x14ac:dyDescent="0.25">
      <c r="B54" s="557" t="s">
        <v>23</v>
      </c>
      <c r="C54" s="557" t="s">
        <v>28</v>
      </c>
      <c r="D54" s="559"/>
      <c r="E54" s="555" t="s">
        <v>13</v>
      </c>
      <c r="F54" s="555" t="s">
        <v>54</v>
      </c>
      <c r="G54" s="555" t="s">
        <v>55</v>
      </c>
      <c r="H54" s="555" t="s">
        <v>56</v>
      </c>
      <c r="I54" s="555" t="s">
        <v>57</v>
      </c>
    </row>
    <row r="55" spans="2:13" x14ac:dyDescent="0.25">
      <c r="B55" s="558"/>
      <c r="C55" s="558"/>
      <c r="D55" s="560"/>
      <c r="E55" s="555"/>
      <c r="F55" s="555"/>
      <c r="G55" s="555"/>
      <c r="H55" s="555"/>
      <c r="I55" s="555"/>
    </row>
    <row r="56" spans="2:13" ht="20.399999999999999" x14ac:dyDescent="0.3">
      <c r="B56" s="73">
        <v>1</v>
      </c>
      <c r="C56" s="77">
        <v>10</v>
      </c>
      <c r="D56" s="77"/>
      <c r="E56" s="83" t="s">
        <v>25</v>
      </c>
      <c r="F56" s="86">
        <v>7580000</v>
      </c>
      <c r="G56" s="94">
        <f>SUMIF($D$10:$D$46,$C$56,$G$10:$G$46)</f>
        <v>0</v>
      </c>
      <c r="H56" s="96">
        <f>F56-G56</f>
        <v>7580000</v>
      </c>
      <c r="I56" s="84"/>
      <c r="L56" s="149">
        <v>3142401</v>
      </c>
      <c r="M56" s="149">
        <v>2644700</v>
      </c>
    </row>
    <row r="57" spans="2:13" ht="20.399999999999999" x14ac:dyDescent="0.35">
      <c r="B57" s="74">
        <v>2</v>
      </c>
      <c r="C57" s="80">
        <v>20</v>
      </c>
      <c r="D57" s="80"/>
      <c r="E57" s="83" t="s">
        <v>26</v>
      </c>
      <c r="F57" s="87">
        <v>2000000</v>
      </c>
      <c r="G57" s="94">
        <f>SUMIF($D$10:$D$46,$C$57,$G$10:$G$46)</f>
        <v>0</v>
      </c>
      <c r="H57" s="96">
        <f t="shared" ref="H57:H63" si="4">F57-G57</f>
        <v>2000000</v>
      </c>
      <c r="I57" s="84"/>
      <c r="L57" s="151">
        <f>L56-SUM(F58:F63)</f>
        <v>2632401</v>
      </c>
    </row>
    <row r="58" spans="2:13" ht="20.399999999999999" x14ac:dyDescent="0.35">
      <c r="B58" s="75">
        <v>3</v>
      </c>
      <c r="C58" s="80">
        <v>30</v>
      </c>
      <c r="D58" s="80"/>
      <c r="E58" s="83" t="s">
        <v>48</v>
      </c>
      <c r="F58" s="87">
        <v>50000</v>
      </c>
      <c r="G58" s="94">
        <f>SUMIF($D$10:$D$46,$C$58,$G$10:$G$46)</f>
        <v>0</v>
      </c>
      <c r="H58" s="96">
        <f t="shared" si="4"/>
        <v>50000</v>
      </c>
      <c r="I58" s="81"/>
    </row>
    <row r="59" spans="2:13" ht="20.399999999999999" x14ac:dyDescent="0.35">
      <c r="B59" s="75">
        <v>4</v>
      </c>
      <c r="C59" s="80">
        <v>40</v>
      </c>
      <c r="D59" s="80"/>
      <c r="E59" s="83" t="s">
        <v>49</v>
      </c>
      <c r="F59" s="87">
        <v>50000</v>
      </c>
      <c r="G59" s="94">
        <f>SUMIF($D$10:$D$46,$C$59,$G$10:$G$46)</f>
        <v>0</v>
      </c>
      <c r="H59" s="96">
        <f t="shared" si="4"/>
        <v>50000</v>
      </c>
      <c r="I59" s="81"/>
    </row>
    <row r="60" spans="2:13" ht="20.399999999999999" x14ac:dyDescent="0.35">
      <c r="B60" s="75">
        <v>5</v>
      </c>
      <c r="C60" s="80">
        <v>50</v>
      </c>
      <c r="D60" s="80"/>
      <c r="E60" s="83" t="s">
        <v>47</v>
      </c>
      <c r="F60" s="87">
        <v>300000</v>
      </c>
      <c r="G60" s="94">
        <f>SUMIF($D$10:$D$46,$C$60,$G$10:$G$46)</f>
        <v>0</v>
      </c>
      <c r="H60" s="96">
        <f t="shared" si="4"/>
        <v>300000</v>
      </c>
      <c r="I60" s="81"/>
    </row>
    <row r="61" spans="2:13" ht="20.399999999999999" x14ac:dyDescent="0.35">
      <c r="B61" s="76">
        <v>6</v>
      </c>
      <c r="C61" s="80">
        <v>60</v>
      </c>
      <c r="D61" s="80"/>
      <c r="E61" s="83" t="s">
        <v>51</v>
      </c>
      <c r="F61" s="87">
        <v>40000</v>
      </c>
      <c r="G61" s="94">
        <f>SUMIF($D$10:$D$46,$C$61,$G$10:$G$46)</f>
        <v>0</v>
      </c>
      <c r="H61" s="96">
        <f t="shared" si="4"/>
        <v>40000</v>
      </c>
      <c r="I61" s="81"/>
    </row>
    <row r="62" spans="2:13" ht="20.399999999999999" x14ac:dyDescent="0.35">
      <c r="B62" s="76">
        <v>7</v>
      </c>
      <c r="C62" s="80">
        <v>70</v>
      </c>
      <c r="D62" s="80"/>
      <c r="E62" s="83" t="s">
        <v>52</v>
      </c>
      <c r="F62" s="87">
        <v>30000</v>
      </c>
      <c r="G62" s="94">
        <f>SUMIF($D$10:$D$46,$C$62,$G$10:$G$46)</f>
        <v>0</v>
      </c>
      <c r="H62" s="96">
        <f t="shared" si="4"/>
        <v>30000</v>
      </c>
      <c r="I62" s="81"/>
    </row>
    <row r="63" spans="2:13" ht="20.399999999999999" x14ac:dyDescent="0.35">
      <c r="B63" s="76">
        <v>8</v>
      </c>
      <c r="C63" s="80">
        <v>80</v>
      </c>
      <c r="D63" s="80"/>
      <c r="E63" s="83" t="s">
        <v>53</v>
      </c>
      <c r="F63" s="87">
        <v>40000</v>
      </c>
      <c r="G63" s="94">
        <f>SUMIF($D$10:$D$46,$C$63,$G$10:$G$46)</f>
        <v>15000</v>
      </c>
      <c r="H63" s="96">
        <f t="shared" si="4"/>
        <v>25000</v>
      </c>
      <c r="I63" s="81"/>
    </row>
    <row r="64" spans="2:13" ht="20.399999999999999" x14ac:dyDescent="0.35">
      <c r="B64" s="89"/>
      <c r="C64" s="90"/>
      <c r="D64" s="90"/>
      <c r="E64" s="91" t="s">
        <v>59</v>
      </c>
      <c r="F64" s="92">
        <f>SUM(F56:F63)</f>
        <v>10090000</v>
      </c>
      <c r="G64" s="92">
        <f>SUM(G56:G63)</f>
        <v>15000</v>
      </c>
      <c r="H64" s="97">
        <f>SUM(H56:H63)</f>
        <v>10075000</v>
      </c>
      <c r="I64" s="93"/>
    </row>
    <row r="65" spans="2:9" ht="20.399999999999999" x14ac:dyDescent="0.35">
      <c r="B65" s="89"/>
      <c r="C65" s="90"/>
      <c r="D65" s="90"/>
      <c r="E65" s="91" t="s">
        <v>60</v>
      </c>
      <c r="F65" s="88">
        <f>((C53-F64)/C53)</f>
        <v>-239.23809523809524</v>
      </c>
      <c r="G65" s="88"/>
      <c r="H65" s="93"/>
      <c r="I65" s="93"/>
    </row>
    <row r="66" spans="2:9" ht="20.399999999999999" x14ac:dyDescent="0.35">
      <c r="B66" s="89"/>
      <c r="C66" s="90"/>
      <c r="D66" s="90"/>
      <c r="E66" s="91" t="s">
        <v>58</v>
      </c>
      <c r="F66" s="92">
        <f>F65*C53</f>
        <v>-10048000</v>
      </c>
      <c r="G66" s="92"/>
      <c r="H66" s="93"/>
      <c r="I66" s="93"/>
    </row>
    <row r="67" spans="2:9" ht="22.2" x14ac:dyDescent="0.35">
      <c r="B67" s="41"/>
      <c r="C67" s="40"/>
      <c r="D67" s="40"/>
      <c r="E67" s="91" t="s">
        <v>68</v>
      </c>
      <c r="F67" s="194">
        <f>C53-G64</f>
        <v>27000</v>
      </c>
      <c r="G67" s="95"/>
      <c r="H67" s="81"/>
      <c r="I67" s="81"/>
    </row>
    <row r="68" spans="2:9" ht="15" x14ac:dyDescent="0.25">
      <c r="B68" s="41"/>
      <c r="C68" s="40"/>
      <c r="D68" s="40"/>
      <c r="E68" s="40"/>
      <c r="F68" s="40"/>
      <c r="G68" s="42"/>
      <c r="H68" s="43"/>
      <c r="I68" s="43"/>
    </row>
    <row r="69" spans="2:9" ht="15" x14ac:dyDescent="0.25">
      <c r="B69" s="41"/>
      <c r="C69" s="40"/>
      <c r="D69" s="40"/>
      <c r="E69" s="40"/>
      <c r="F69" s="390">
        <v>0.05</v>
      </c>
      <c r="G69" s="42"/>
      <c r="H69" s="43"/>
      <c r="I69" s="43"/>
    </row>
    <row r="70" spans="2:9" ht="15" x14ac:dyDescent="0.25">
      <c r="B70" s="41"/>
      <c r="C70" s="42">
        <v>10</v>
      </c>
      <c r="D70" s="399">
        <v>130220</v>
      </c>
      <c r="E70" s="40"/>
      <c r="F70" s="389">
        <f>F67*F69</f>
        <v>1350</v>
      </c>
      <c r="G70" s="42"/>
      <c r="H70" s="43"/>
      <c r="I70" s="43"/>
    </row>
    <row r="71" spans="2:9" ht="15" x14ac:dyDescent="0.25">
      <c r="B71" s="41"/>
      <c r="C71" s="40"/>
      <c r="D71" s="399">
        <v>932447</v>
      </c>
      <c r="E71" s="40"/>
      <c r="F71" s="40"/>
      <c r="G71" s="42"/>
      <c r="H71" s="43"/>
      <c r="I71" s="43"/>
    </row>
    <row r="72" spans="2:9" ht="18" x14ac:dyDescent="0.45">
      <c r="B72" s="7"/>
      <c r="C72" s="12"/>
      <c r="D72" s="399">
        <v>2509637.9500000002</v>
      </c>
      <c r="E72" s="9"/>
      <c r="F72" s="39"/>
      <c r="G72" s="44"/>
      <c r="H72" s="12"/>
      <c r="I72" s="7"/>
    </row>
    <row r="73" spans="2:9" ht="18" x14ac:dyDescent="0.45">
      <c r="B73" s="7"/>
      <c r="C73" s="12"/>
      <c r="D73" s="399">
        <v>657729.56000000006</v>
      </c>
      <c r="E73" s="9"/>
      <c r="F73" s="45"/>
      <c r="G73" s="46"/>
      <c r="H73" s="12"/>
      <c r="I73" s="7"/>
    </row>
    <row r="74" spans="2:9" ht="18" x14ac:dyDescent="0.45">
      <c r="B74" s="7"/>
      <c r="C74" s="12"/>
      <c r="D74" s="399">
        <v>1711164.99</v>
      </c>
      <c r="E74" s="9"/>
      <c r="F74" s="12"/>
      <c r="G74" s="12"/>
      <c r="H74" s="12"/>
      <c r="I74" s="7"/>
    </row>
    <row r="75" spans="2:9" ht="15" x14ac:dyDescent="0.25">
      <c r="D75" s="399">
        <v>1748525.78</v>
      </c>
    </row>
    <row r="76" spans="2:9" ht="15" x14ac:dyDescent="0.25">
      <c r="D76" s="399">
        <v>1193507.68</v>
      </c>
    </row>
    <row r="77" spans="2:9" ht="15" x14ac:dyDescent="0.25">
      <c r="D77" s="399">
        <v>253400</v>
      </c>
    </row>
    <row r="78" spans="2:9" ht="15" x14ac:dyDescent="0.25">
      <c r="D78" s="399">
        <v>1315322.8600000001</v>
      </c>
    </row>
    <row r="79" spans="2:9" ht="15" x14ac:dyDescent="0.25">
      <c r="D79" s="399">
        <v>70361</v>
      </c>
    </row>
    <row r="80" spans="2:9" ht="15.6" thickBot="1" x14ac:dyDescent="0.3">
      <c r="D80" s="400">
        <f>SUM(D70:D79)</f>
        <v>10522316.82</v>
      </c>
    </row>
    <row r="81" spans="3:4" ht="15.6" thickTop="1" x14ac:dyDescent="0.25">
      <c r="D81" s="399"/>
    </row>
    <row r="82" spans="3:4" ht="15" x14ac:dyDescent="0.25">
      <c r="C82" s="42">
        <v>20</v>
      </c>
      <c r="D82" s="399">
        <v>75000</v>
      </c>
    </row>
    <row r="83" spans="3:4" ht="15" x14ac:dyDescent="0.25">
      <c r="D83" s="399">
        <v>102500</v>
      </c>
    </row>
    <row r="84" spans="3:4" ht="15" x14ac:dyDescent="0.25">
      <c r="D84" s="399">
        <v>156474.88</v>
      </c>
    </row>
    <row r="85" spans="3:4" ht="15" x14ac:dyDescent="0.25">
      <c r="D85" s="399">
        <v>183719</v>
      </c>
    </row>
    <row r="86" spans="3:4" ht="15" x14ac:dyDescent="0.25">
      <c r="D86" s="399">
        <v>912852.76</v>
      </c>
    </row>
    <row r="87" spans="3:4" ht="15" x14ac:dyDescent="0.25">
      <c r="D87" s="399">
        <v>953738.62</v>
      </c>
    </row>
    <row r="88" spans="3:4" ht="15" x14ac:dyDescent="0.25">
      <c r="D88" s="399">
        <v>390501.84</v>
      </c>
    </row>
    <row r="89" spans="3:4" ht="15" x14ac:dyDescent="0.25">
      <c r="D89" s="399">
        <v>100000</v>
      </c>
    </row>
    <row r="90" spans="3:4" ht="15" x14ac:dyDescent="0.25">
      <c r="D90" s="399">
        <v>451699.78</v>
      </c>
    </row>
    <row r="91" spans="3:4" ht="15" x14ac:dyDescent="0.25">
      <c r="D91" s="399">
        <v>34447.599999999999</v>
      </c>
    </row>
    <row r="92" spans="3:4" ht="15.6" thickBot="1" x14ac:dyDescent="0.3">
      <c r="D92" s="400">
        <f>SUM(D82:D91)</f>
        <v>3360934.48</v>
      </c>
    </row>
    <row r="93" spans="3:4" ht="15.6" thickTop="1" x14ac:dyDescent="0.25">
      <c r="D93" s="399"/>
    </row>
    <row r="94" spans="3:4" ht="15" x14ac:dyDescent="0.25">
      <c r="D94" s="399"/>
    </row>
    <row r="95" spans="3:4" ht="15" x14ac:dyDescent="0.25">
      <c r="D95" s="399"/>
    </row>
    <row r="96" spans="3:4" ht="15" x14ac:dyDescent="0.25">
      <c r="D96" s="399"/>
    </row>
  </sheetData>
  <mergeCells count="55">
    <mergeCell ref="I54:I55"/>
    <mergeCell ref="B54:B55"/>
    <mergeCell ref="C54:D55"/>
    <mergeCell ref="E54:E55"/>
    <mergeCell ref="F54:F55"/>
    <mergeCell ref="G54:G55"/>
    <mergeCell ref="H54:H55"/>
    <mergeCell ref="BW4:BW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K4:BK6"/>
    <mergeCell ref="AX4:AX6"/>
    <mergeCell ref="AY4:AY6"/>
    <mergeCell ref="AZ4:AZ6"/>
    <mergeCell ref="BA4:BA6"/>
    <mergeCell ref="BB4:BB6"/>
    <mergeCell ref="BE4:BE6"/>
    <mergeCell ref="BF4:BF6"/>
    <mergeCell ref="BG4:BG6"/>
    <mergeCell ref="BH4:BH6"/>
    <mergeCell ref="BI4:BI6"/>
    <mergeCell ref="BJ4:BJ6"/>
    <mergeCell ref="AW4:AW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K4:AK6"/>
    <mergeCell ref="E4:F5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</mergeCells>
  <conditionalFormatting sqref="H56:H64">
    <cfRule type="cellIs" dxfId="68" priority="1" operator="lessThan">
      <formula>0</formula>
    </cfRule>
    <cfRule type="cellIs" dxfId="67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9D6A-8F98-4BE7-AB0D-0A565A1616A6}">
  <sheetPr>
    <tabColor theme="2" tint="-0.749992370372631"/>
  </sheetPr>
  <dimension ref="B1:J67"/>
  <sheetViews>
    <sheetView topLeftCell="A7" zoomScale="55" zoomScaleNormal="55" workbookViewId="0">
      <selection activeCell="H41" sqref="H41"/>
    </sheetView>
  </sheetViews>
  <sheetFormatPr defaultRowHeight="13.8" x14ac:dyDescent="0.25"/>
  <cols>
    <col min="2" max="2" width="21.59765625" style="1" customWidth="1"/>
    <col min="3" max="3" width="38.19921875" style="1" customWidth="1"/>
    <col min="4" max="4" width="17.5" style="1" customWidth="1"/>
    <col min="5" max="5" width="50.5" style="1" customWidth="1"/>
    <col min="6" max="6" width="38.09765625" style="1" customWidth="1"/>
    <col min="7" max="7" width="26" style="1" customWidth="1"/>
    <col min="8" max="9" width="22.19921875" style="1" customWidth="1"/>
    <col min="10" max="10" width="23.3984375" customWidth="1"/>
  </cols>
  <sheetData>
    <row r="1" spans="2:10" ht="22.2" x14ac:dyDescent="0.35">
      <c r="B1" s="14" t="s">
        <v>0</v>
      </c>
      <c r="C1" s="2" t="str">
        <f>'All Job balance report'!D13</f>
        <v>Unity System Co., Ltd.</v>
      </c>
      <c r="D1" s="2"/>
      <c r="E1" s="2"/>
      <c r="F1" s="3"/>
      <c r="G1" s="3"/>
      <c r="H1" s="146" t="s">
        <v>1</v>
      </c>
      <c r="I1" s="147">
        <v>45809</v>
      </c>
    </row>
    <row r="2" spans="2:10" ht="22.2" x14ac:dyDescent="0.55000000000000004">
      <c r="B2" s="4" t="s">
        <v>2</v>
      </c>
      <c r="C2" s="5" t="str">
        <f>'All Job balance report'!F13</f>
        <v>งานค่าแรงผู้รับเหมา รพ.ภัทรเวช</v>
      </c>
      <c r="D2" s="5"/>
      <c r="E2" s="5"/>
      <c r="F2" s="3"/>
      <c r="G2" s="3"/>
      <c r="H2" s="146" t="s">
        <v>3</v>
      </c>
      <c r="I2" s="148"/>
    </row>
    <row r="3" spans="2:10" ht="22.2" x14ac:dyDescent="0.55000000000000004">
      <c r="B3" s="4" t="s">
        <v>74</v>
      </c>
      <c r="C3" s="145" t="str">
        <f>C45</f>
        <v>UNT-2601/001</v>
      </c>
      <c r="D3" s="6"/>
      <c r="E3" s="6"/>
      <c r="F3" s="7"/>
      <c r="G3" s="7"/>
      <c r="H3" s="7"/>
      <c r="I3" s="7"/>
    </row>
    <row r="4" spans="2:10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0" ht="22.2" x14ac:dyDescent="0.55000000000000004">
      <c r="B5" s="4" t="s">
        <v>7</v>
      </c>
      <c r="C5" s="11">
        <f>C46</f>
        <v>143840.18</v>
      </c>
      <c r="D5" s="9"/>
      <c r="E5" s="556"/>
      <c r="F5" s="556"/>
      <c r="G5" s="3"/>
      <c r="H5" s="7"/>
      <c r="I5" s="7"/>
    </row>
    <row r="6" spans="2:10" ht="26.4" x14ac:dyDescent="0.55000000000000004">
      <c r="B6" s="4" t="s">
        <v>8</v>
      </c>
      <c r="C6" s="11">
        <f>F57</f>
        <v>0</v>
      </c>
      <c r="D6" s="12"/>
      <c r="E6" s="13"/>
      <c r="F6" s="10"/>
      <c r="G6" s="3"/>
      <c r="H6" s="7"/>
      <c r="I6" s="7"/>
    </row>
    <row r="7" spans="2:10" ht="22.2" x14ac:dyDescent="0.55000000000000004">
      <c r="B7" s="15" t="s">
        <v>9</v>
      </c>
      <c r="C7" s="16">
        <f>(C5-C6)/C5</f>
        <v>1</v>
      </c>
      <c r="D7" s="15" t="s">
        <v>10</v>
      </c>
      <c r="E7" s="17">
        <v>1</v>
      </c>
      <c r="F7" s="18"/>
      <c r="G7" s="18"/>
      <c r="H7" s="18"/>
      <c r="I7" s="18"/>
    </row>
    <row r="8" spans="2:10" ht="30" customHeight="1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65" t="s">
        <v>16</v>
      </c>
      <c r="J8" s="195" t="s">
        <v>126</v>
      </c>
    </row>
    <row r="9" spans="2:10" ht="30" customHeight="1" x14ac:dyDescent="0.25">
      <c r="B9" s="22"/>
      <c r="C9" s="23"/>
      <c r="D9" s="23"/>
      <c r="E9" s="23"/>
      <c r="F9" s="23"/>
      <c r="G9" s="24"/>
      <c r="H9" s="25"/>
      <c r="I9" s="166"/>
      <c r="J9" s="175"/>
    </row>
    <row r="10" spans="2:10" ht="25.8" x14ac:dyDescent="0.65">
      <c r="B10" s="103">
        <v>1</v>
      </c>
      <c r="C10" s="61" t="s">
        <v>38</v>
      </c>
      <c r="D10" s="64">
        <v>10</v>
      </c>
      <c r="E10" s="61" t="s">
        <v>188</v>
      </c>
      <c r="F10" s="61" t="s">
        <v>187</v>
      </c>
      <c r="G10" s="70">
        <v>9469.1</v>
      </c>
      <c r="H10" s="63" t="s">
        <v>17</v>
      </c>
      <c r="I10" s="167">
        <v>45833</v>
      </c>
      <c r="J10" s="175" t="s">
        <v>186</v>
      </c>
    </row>
    <row r="11" spans="2:10" ht="25.8" x14ac:dyDescent="0.65">
      <c r="B11" s="104">
        <v>2</v>
      </c>
      <c r="C11" s="61" t="s">
        <v>171</v>
      </c>
      <c r="D11" s="64">
        <v>10</v>
      </c>
      <c r="E11" s="61" t="s">
        <v>184</v>
      </c>
      <c r="F11" s="61" t="s">
        <v>185</v>
      </c>
      <c r="G11" s="70">
        <v>57500</v>
      </c>
      <c r="H11" s="63" t="s">
        <v>17</v>
      </c>
      <c r="I11" s="168">
        <v>45832</v>
      </c>
      <c r="J11" s="175" t="s">
        <v>189</v>
      </c>
    </row>
    <row r="12" spans="2:10" ht="25.8" x14ac:dyDescent="0.65">
      <c r="B12" s="104">
        <v>3</v>
      </c>
      <c r="C12" s="61" t="s">
        <v>38</v>
      </c>
      <c r="D12" s="64">
        <v>10</v>
      </c>
      <c r="E12" s="61" t="s">
        <v>211</v>
      </c>
      <c r="F12" s="61" t="s">
        <v>212</v>
      </c>
      <c r="G12" s="70">
        <v>12900</v>
      </c>
      <c r="H12" s="27" t="s">
        <v>17</v>
      </c>
      <c r="I12" s="65">
        <v>45798</v>
      </c>
      <c r="J12" s="175" t="s">
        <v>213</v>
      </c>
    </row>
    <row r="13" spans="2:10" ht="25.8" x14ac:dyDescent="0.65">
      <c r="B13" s="104">
        <v>4</v>
      </c>
      <c r="C13" s="61" t="s">
        <v>38</v>
      </c>
      <c r="D13" s="64">
        <v>10</v>
      </c>
      <c r="E13" s="61" t="s">
        <v>301</v>
      </c>
      <c r="F13" s="61" t="s">
        <v>302</v>
      </c>
      <c r="G13" s="70">
        <v>4188.8</v>
      </c>
      <c r="H13" s="27" t="s">
        <v>17</v>
      </c>
      <c r="I13" s="65">
        <v>45833</v>
      </c>
      <c r="J13" s="175" t="s">
        <v>303</v>
      </c>
    </row>
    <row r="14" spans="2:10" ht="25.8" x14ac:dyDescent="0.65">
      <c r="B14" s="104">
        <v>5</v>
      </c>
      <c r="C14" s="61" t="s">
        <v>38</v>
      </c>
      <c r="D14" s="64">
        <v>10</v>
      </c>
      <c r="E14" s="61" t="s">
        <v>226</v>
      </c>
      <c r="F14" s="61" t="s">
        <v>227</v>
      </c>
      <c r="G14" s="70">
        <v>46196.800000000003</v>
      </c>
      <c r="H14" s="27" t="s">
        <v>17</v>
      </c>
      <c r="I14" s="65">
        <v>45820</v>
      </c>
      <c r="J14" s="175" t="s">
        <v>228</v>
      </c>
    </row>
    <row r="15" spans="2:10" ht="26.4" customHeight="1" x14ac:dyDescent="0.65">
      <c r="B15" s="104">
        <v>6</v>
      </c>
      <c r="C15" s="26"/>
      <c r="D15" s="64"/>
      <c r="E15" s="101"/>
      <c r="F15" s="101"/>
      <c r="G15" s="102"/>
      <c r="H15" s="27"/>
      <c r="I15" s="169"/>
      <c r="J15" s="175"/>
    </row>
    <row r="16" spans="2:10" ht="25.8" x14ac:dyDescent="0.65">
      <c r="B16" s="104"/>
      <c r="C16" s="60"/>
      <c r="D16" s="64"/>
      <c r="E16" s="60"/>
      <c r="F16" s="60"/>
      <c r="G16" s="62"/>
      <c r="H16" s="63"/>
      <c r="I16" s="170"/>
      <c r="J16" s="175"/>
    </row>
    <row r="17" spans="2:10" ht="25.8" x14ac:dyDescent="0.65">
      <c r="B17" s="105"/>
      <c r="C17" s="64"/>
      <c r="D17" s="64"/>
      <c r="E17" s="61"/>
      <c r="F17" s="61"/>
      <c r="G17" s="70"/>
      <c r="H17" s="63"/>
      <c r="I17" s="167"/>
      <c r="J17" s="175"/>
    </row>
    <row r="18" spans="2:10" ht="25.8" x14ac:dyDescent="0.65">
      <c r="B18" s="106"/>
      <c r="C18" s="61"/>
      <c r="D18" s="64"/>
      <c r="E18" s="61"/>
      <c r="F18" s="61"/>
      <c r="G18" s="70"/>
      <c r="H18" s="66"/>
      <c r="I18" s="168"/>
      <c r="J18" s="175"/>
    </row>
    <row r="19" spans="2:10" ht="25.8" x14ac:dyDescent="0.65">
      <c r="B19" s="106"/>
      <c r="C19" s="64"/>
      <c r="D19" s="64"/>
      <c r="E19" s="61"/>
      <c r="F19" s="61"/>
      <c r="G19" s="70"/>
      <c r="H19" s="66"/>
      <c r="I19" s="168"/>
      <c r="J19" s="175"/>
    </row>
    <row r="20" spans="2:10" ht="25.8" x14ac:dyDescent="0.65">
      <c r="B20" s="106"/>
      <c r="C20" s="64"/>
      <c r="D20" s="64"/>
      <c r="E20" s="61"/>
      <c r="F20" s="61"/>
      <c r="G20" s="70"/>
      <c r="H20" s="66"/>
      <c r="I20" s="168"/>
      <c r="J20" s="175"/>
    </row>
    <row r="21" spans="2:10" ht="25.8" x14ac:dyDescent="0.65">
      <c r="B21" s="106"/>
      <c r="C21" s="64"/>
      <c r="D21" s="64"/>
      <c r="E21" s="61"/>
      <c r="F21" s="61"/>
      <c r="G21" s="70"/>
      <c r="H21" s="66"/>
      <c r="I21" s="168"/>
      <c r="J21" s="175"/>
    </row>
    <row r="22" spans="2:10" ht="25.8" x14ac:dyDescent="0.65">
      <c r="B22" s="106"/>
      <c r="C22" s="64"/>
      <c r="D22" s="64"/>
      <c r="E22" s="61"/>
      <c r="F22" s="61"/>
      <c r="G22" s="70"/>
      <c r="H22" s="66"/>
      <c r="I22" s="171"/>
      <c r="J22" s="175"/>
    </row>
    <row r="23" spans="2:10" ht="25.8" x14ac:dyDescent="0.65">
      <c r="B23" s="106"/>
      <c r="C23" s="61"/>
      <c r="D23" s="64"/>
      <c r="E23" s="61"/>
      <c r="F23" s="61"/>
      <c r="G23" s="70"/>
      <c r="H23" s="66"/>
      <c r="I23" s="171"/>
      <c r="J23" s="175"/>
    </row>
    <row r="24" spans="2:10" ht="25.8" x14ac:dyDescent="0.65">
      <c r="B24" s="107"/>
      <c r="C24" s="47"/>
      <c r="D24" s="64"/>
      <c r="E24" s="47"/>
      <c r="F24" s="47"/>
      <c r="G24" s="49"/>
      <c r="H24" s="48"/>
      <c r="I24" s="173"/>
      <c r="J24" s="175"/>
    </row>
    <row r="25" spans="2:10" ht="25.8" x14ac:dyDescent="0.65">
      <c r="B25" s="107"/>
      <c r="C25" s="47"/>
      <c r="D25" s="64"/>
      <c r="E25" s="47"/>
      <c r="F25" s="47"/>
      <c r="G25" s="49"/>
      <c r="H25" s="48"/>
      <c r="I25" s="173"/>
      <c r="J25" s="175"/>
    </row>
    <row r="26" spans="2:10" ht="25.8" x14ac:dyDescent="0.65">
      <c r="B26" s="107"/>
      <c r="C26" s="47"/>
      <c r="D26" s="64"/>
      <c r="E26" s="47"/>
      <c r="F26" s="47"/>
      <c r="G26" s="49"/>
      <c r="H26" s="48"/>
      <c r="I26" s="173"/>
      <c r="J26" s="175"/>
    </row>
    <row r="27" spans="2:10" ht="25.8" x14ac:dyDescent="0.65">
      <c r="B27" s="107"/>
      <c r="C27" s="47"/>
      <c r="D27" s="64"/>
      <c r="E27" s="47"/>
      <c r="F27" s="47"/>
      <c r="G27" s="49"/>
      <c r="H27" s="48"/>
      <c r="I27" s="173"/>
      <c r="J27" s="175"/>
    </row>
    <row r="28" spans="2:10" ht="25.8" x14ac:dyDescent="0.65">
      <c r="B28" s="107"/>
      <c r="C28" s="47"/>
      <c r="D28" s="64"/>
      <c r="E28" s="47"/>
      <c r="F28" s="47"/>
      <c r="G28" s="49"/>
      <c r="H28" s="48"/>
      <c r="I28" s="173"/>
      <c r="J28" s="175"/>
    </row>
    <row r="29" spans="2:10" ht="25.8" x14ac:dyDescent="0.65">
      <c r="B29" s="31"/>
      <c r="C29" s="47"/>
      <c r="D29" s="64"/>
      <c r="E29" s="47"/>
      <c r="F29" s="47"/>
      <c r="G29" s="49"/>
      <c r="H29" s="48"/>
      <c r="I29" s="173"/>
      <c r="J29" s="175"/>
    </row>
    <row r="30" spans="2:10" ht="25.8" x14ac:dyDescent="0.65">
      <c r="B30" s="31"/>
      <c r="C30" s="47"/>
      <c r="D30" s="64"/>
      <c r="E30" s="47"/>
      <c r="F30" s="47"/>
      <c r="G30" s="49"/>
      <c r="H30" s="48"/>
      <c r="I30" s="173"/>
      <c r="J30" s="175"/>
    </row>
    <row r="31" spans="2:10" ht="25.8" x14ac:dyDescent="0.65">
      <c r="B31" s="31"/>
      <c r="C31" s="47"/>
      <c r="D31" s="64"/>
      <c r="E31" s="47"/>
      <c r="F31" s="47"/>
      <c r="G31" s="49"/>
      <c r="H31" s="48"/>
      <c r="I31" s="173"/>
      <c r="J31" s="175"/>
    </row>
    <row r="32" spans="2:10" ht="25.8" x14ac:dyDescent="0.65">
      <c r="B32" s="31"/>
      <c r="C32" s="47"/>
      <c r="D32" s="64"/>
      <c r="E32" s="47"/>
      <c r="F32" s="47"/>
      <c r="G32" s="49"/>
      <c r="H32" s="48"/>
      <c r="I32" s="173"/>
      <c r="J32" s="175"/>
    </row>
    <row r="33" spans="2:10" ht="25.8" x14ac:dyDescent="0.65">
      <c r="B33" s="31"/>
      <c r="C33" s="47"/>
      <c r="D33" s="64"/>
      <c r="E33" s="47"/>
      <c r="F33" s="47"/>
      <c r="G33" s="49"/>
      <c r="H33" s="48"/>
      <c r="I33" s="173"/>
      <c r="J33" s="175"/>
    </row>
    <row r="34" spans="2:10" ht="25.8" x14ac:dyDescent="0.65">
      <c r="B34" s="31"/>
      <c r="C34" s="47"/>
      <c r="D34" s="64"/>
      <c r="E34" s="47"/>
      <c r="F34" s="47"/>
      <c r="G34" s="49"/>
      <c r="H34" s="48"/>
      <c r="I34" s="173"/>
      <c r="J34" s="175"/>
    </row>
    <row r="35" spans="2:10" ht="25.8" x14ac:dyDescent="0.65">
      <c r="B35" s="31"/>
      <c r="C35" s="47"/>
      <c r="D35" s="64"/>
      <c r="E35" s="47"/>
      <c r="F35" s="47"/>
      <c r="G35" s="49"/>
      <c r="H35" s="48"/>
      <c r="I35" s="173"/>
      <c r="J35" s="175"/>
    </row>
    <row r="36" spans="2:10" ht="25.8" x14ac:dyDescent="0.65">
      <c r="B36" s="31"/>
      <c r="C36" s="47"/>
      <c r="D36" s="64"/>
      <c r="E36" s="47"/>
      <c r="F36" s="47"/>
      <c r="G36" s="49"/>
      <c r="H36" s="48"/>
      <c r="I36" s="173"/>
      <c r="J36" s="175"/>
    </row>
    <row r="37" spans="2:10" ht="25.8" x14ac:dyDescent="0.65">
      <c r="B37" s="31"/>
      <c r="C37" s="47"/>
      <c r="D37" s="64"/>
      <c r="E37" s="47"/>
      <c r="F37" s="47"/>
      <c r="G37" s="49"/>
      <c r="H37" s="48"/>
      <c r="I37" s="173"/>
      <c r="J37" s="175"/>
    </row>
    <row r="38" spans="2:10" ht="25.8" x14ac:dyDescent="0.65">
      <c r="B38" s="31"/>
      <c r="C38" s="47"/>
      <c r="D38" s="64"/>
      <c r="E38" s="47"/>
      <c r="F38" s="47"/>
      <c r="G38" s="49"/>
      <c r="H38" s="48"/>
      <c r="I38" s="173"/>
      <c r="J38" s="175"/>
    </row>
    <row r="39" spans="2:10" ht="25.8" x14ac:dyDescent="0.65">
      <c r="B39" s="31"/>
      <c r="C39" s="47"/>
      <c r="D39" s="64"/>
      <c r="E39" s="47"/>
      <c r="F39" s="47"/>
      <c r="G39" s="49"/>
      <c r="H39" s="48"/>
      <c r="I39" s="173"/>
      <c r="J39" s="175"/>
    </row>
    <row r="40" spans="2:10" ht="18" x14ac:dyDescent="0.45">
      <c r="B40" s="7"/>
      <c r="C40" s="12"/>
      <c r="D40" s="9"/>
      <c r="E40" s="9"/>
      <c r="F40" s="32" t="s">
        <v>18</v>
      </c>
      <c r="G40" s="33">
        <f>SUM(G9:G39)</f>
        <v>130254.70000000001</v>
      </c>
      <c r="H40" s="12"/>
      <c r="I40" s="7"/>
    </row>
    <row r="41" spans="2:10" ht="18" x14ac:dyDescent="0.45">
      <c r="B41" s="7"/>
      <c r="C41" s="12"/>
      <c r="D41" s="9"/>
      <c r="E41" s="9"/>
      <c r="F41" s="34" t="s">
        <v>19</v>
      </c>
      <c r="G41" s="35">
        <f>$C$6-G40</f>
        <v>-130254.70000000001</v>
      </c>
      <c r="H41" s="12"/>
      <c r="I41" s="7"/>
    </row>
    <row r="42" spans="2:10" ht="18" x14ac:dyDescent="0.45">
      <c r="B42" s="7"/>
      <c r="C42" s="12"/>
      <c r="D42" s="9"/>
      <c r="E42" s="9"/>
      <c r="F42" s="12"/>
      <c r="G42" s="12"/>
      <c r="H42" s="12"/>
      <c r="I42" s="7"/>
    </row>
    <row r="43" spans="2:10" ht="18" x14ac:dyDescent="0.45">
      <c r="B43" s="7"/>
      <c r="C43" s="12"/>
      <c r="D43" s="9"/>
      <c r="E43" s="9"/>
      <c r="F43" s="36" t="s">
        <v>20</v>
      </c>
      <c r="G43" s="37" t="e">
        <f>G41/C6</f>
        <v>#DIV/0!</v>
      </c>
      <c r="H43" s="38"/>
      <c r="I43" s="7"/>
    </row>
    <row r="44" spans="2:10" ht="26.4" x14ac:dyDescent="0.55000000000000004">
      <c r="B44" s="4"/>
      <c r="C44" s="11"/>
      <c r="D44" s="9"/>
      <c r="E44" s="10"/>
      <c r="F44" s="10"/>
      <c r="G44" s="3"/>
      <c r="H44" s="7"/>
      <c r="I44" s="7"/>
    </row>
    <row r="45" spans="2:10" ht="26.4" x14ac:dyDescent="0.55000000000000004">
      <c r="B45" s="143" t="s">
        <v>79</v>
      </c>
      <c r="C45" s="144" t="str">
        <f>'All Job balance report'!B13</f>
        <v>UNT-2601/001</v>
      </c>
      <c r="D45" s="12"/>
      <c r="E45" s="13"/>
      <c r="F45" s="10"/>
      <c r="G45" s="3"/>
      <c r="H45" s="7"/>
      <c r="I45" s="7"/>
    </row>
    <row r="46" spans="2:10" ht="22.2" x14ac:dyDescent="0.55000000000000004">
      <c r="B46" s="82" t="s">
        <v>7</v>
      </c>
      <c r="C46" s="85">
        <f>'All Job balance report'!G13</f>
        <v>143840.18</v>
      </c>
      <c r="D46" s="15"/>
      <c r="E46" s="17"/>
      <c r="F46" s="18"/>
      <c r="G46" s="18"/>
      <c r="H46" s="18"/>
      <c r="I46" s="18"/>
    </row>
    <row r="47" spans="2:10" x14ac:dyDescent="0.25">
      <c r="B47" s="557" t="s">
        <v>23</v>
      </c>
      <c r="C47" s="557" t="s">
        <v>28</v>
      </c>
      <c r="D47" s="559"/>
      <c r="E47" s="555" t="s">
        <v>13</v>
      </c>
      <c r="F47" s="555" t="s">
        <v>54</v>
      </c>
      <c r="G47" s="555" t="s">
        <v>55</v>
      </c>
      <c r="H47" s="555" t="s">
        <v>56</v>
      </c>
      <c r="I47" s="555" t="s">
        <v>57</v>
      </c>
    </row>
    <row r="48" spans="2:10" x14ac:dyDescent="0.25">
      <c r="B48" s="558"/>
      <c r="C48" s="558"/>
      <c r="D48" s="560"/>
      <c r="E48" s="555"/>
      <c r="F48" s="555"/>
      <c r="G48" s="555"/>
      <c r="H48" s="555"/>
      <c r="I48" s="555"/>
    </row>
    <row r="49" spans="2:9" ht="20.399999999999999" x14ac:dyDescent="0.3">
      <c r="B49" s="73">
        <v>1</v>
      </c>
      <c r="C49" s="77">
        <v>10</v>
      </c>
      <c r="D49" s="77"/>
      <c r="E49" s="83" t="s">
        <v>25</v>
      </c>
      <c r="F49" s="86">
        <v>0</v>
      </c>
      <c r="G49" s="94">
        <f>SUMIF($D$10:$D$39,$C$49,$G$10:$G$39)</f>
        <v>130254.70000000001</v>
      </c>
      <c r="H49" s="96">
        <f>F49-G49</f>
        <v>-130254.70000000001</v>
      </c>
      <c r="I49" s="84"/>
    </row>
    <row r="50" spans="2:9" ht="20.399999999999999" x14ac:dyDescent="0.35">
      <c r="B50" s="74">
        <v>2</v>
      </c>
      <c r="C50" s="80">
        <v>20</v>
      </c>
      <c r="D50" s="80"/>
      <c r="E50" s="83" t="s">
        <v>26</v>
      </c>
      <c r="F50" s="87">
        <v>0</v>
      </c>
      <c r="G50" s="94">
        <f>SUMIF($D$10:$D$39,$C$50,$G$10:$G$39)</f>
        <v>0</v>
      </c>
      <c r="H50" s="96">
        <f t="shared" ref="H50:H56" si="0">F50-G50</f>
        <v>0</v>
      </c>
      <c r="I50" s="84"/>
    </row>
    <row r="51" spans="2:9" ht="20.399999999999999" x14ac:dyDescent="0.35">
      <c r="B51" s="75">
        <v>3</v>
      </c>
      <c r="C51" s="80">
        <v>30</v>
      </c>
      <c r="D51" s="80"/>
      <c r="E51" s="83" t="s">
        <v>48</v>
      </c>
      <c r="F51" s="87">
        <v>0</v>
      </c>
      <c r="G51" s="94">
        <f>SUMIF($D$10:$D$39,$C$51,$G$10:$G$39)</f>
        <v>0</v>
      </c>
      <c r="H51" s="96">
        <f t="shared" si="0"/>
        <v>0</v>
      </c>
      <c r="I51" s="81"/>
    </row>
    <row r="52" spans="2:9" ht="20.399999999999999" x14ac:dyDescent="0.35">
      <c r="B52" s="75">
        <v>4</v>
      </c>
      <c r="C52" s="80">
        <v>40</v>
      </c>
      <c r="D52" s="80"/>
      <c r="E52" s="83" t="s">
        <v>49</v>
      </c>
      <c r="F52" s="87">
        <v>0</v>
      </c>
      <c r="G52" s="94">
        <f>SUMIF($D$10:$D$39,$C$52,$G$10:$G$39)</f>
        <v>0</v>
      </c>
      <c r="H52" s="96">
        <f t="shared" si="0"/>
        <v>0</v>
      </c>
      <c r="I52" s="81"/>
    </row>
    <row r="53" spans="2:9" ht="20.399999999999999" x14ac:dyDescent="0.35">
      <c r="B53" s="75">
        <v>5</v>
      </c>
      <c r="C53" s="80">
        <v>50</v>
      </c>
      <c r="D53" s="80"/>
      <c r="E53" s="83" t="s">
        <v>47</v>
      </c>
      <c r="F53" s="87">
        <v>0</v>
      </c>
      <c r="G53" s="94">
        <f>SUMIF($D$10:$D$39,$C$53,$G$10:$G$39)</f>
        <v>0</v>
      </c>
      <c r="H53" s="96">
        <f t="shared" si="0"/>
        <v>0</v>
      </c>
      <c r="I53" s="81"/>
    </row>
    <row r="54" spans="2:9" ht="20.399999999999999" x14ac:dyDescent="0.35">
      <c r="B54" s="76">
        <v>6</v>
      </c>
      <c r="C54" s="80">
        <v>60</v>
      </c>
      <c r="D54" s="80"/>
      <c r="E54" s="83" t="s">
        <v>51</v>
      </c>
      <c r="F54" s="87">
        <v>0</v>
      </c>
      <c r="G54" s="94">
        <f>SUMIF($D$10:$D$39,$C$54,$G$10:$G$39)</f>
        <v>0</v>
      </c>
      <c r="H54" s="96">
        <f t="shared" si="0"/>
        <v>0</v>
      </c>
      <c r="I54" s="81"/>
    </row>
    <row r="55" spans="2:9" ht="20.399999999999999" x14ac:dyDescent="0.35">
      <c r="B55" s="76">
        <v>7</v>
      </c>
      <c r="C55" s="80">
        <v>70</v>
      </c>
      <c r="D55" s="80"/>
      <c r="E55" s="83" t="s">
        <v>52</v>
      </c>
      <c r="F55" s="87">
        <v>0</v>
      </c>
      <c r="G55" s="94">
        <f>SUMIF($D$10:$D$39,$C$55,$G$10:$G$39)</f>
        <v>0</v>
      </c>
      <c r="H55" s="96">
        <f t="shared" si="0"/>
        <v>0</v>
      </c>
      <c r="I55" s="81"/>
    </row>
    <row r="56" spans="2:9" ht="20.399999999999999" x14ac:dyDescent="0.35">
      <c r="B56" s="76">
        <v>8</v>
      </c>
      <c r="C56" s="80">
        <v>80</v>
      </c>
      <c r="D56" s="80"/>
      <c r="E56" s="83" t="s">
        <v>53</v>
      </c>
      <c r="F56" s="87">
        <v>0</v>
      </c>
      <c r="G56" s="94">
        <f>SUMIF($D$10:$D$39,$C$56,$G$10:$G$39)</f>
        <v>0</v>
      </c>
      <c r="H56" s="96">
        <f t="shared" si="0"/>
        <v>0</v>
      </c>
      <c r="I56" s="81"/>
    </row>
    <row r="57" spans="2:9" ht="20.399999999999999" x14ac:dyDescent="0.35">
      <c r="B57" s="89"/>
      <c r="C57" s="90"/>
      <c r="D57" s="90"/>
      <c r="E57" s="91" t="s">
        <v>59</v>
      </c>
      <c r="F57" s="92">
        <f>SUM(F49:F56)</f>
        <v>0</v>
      </c>
      <c r="G57" s="92">
        <f>SUM(G49:G56)</f>
        <v>130254.70000000001</v>
      </c>
      <c r="H57" s="97">
        <f>SUM(H49:H56)</f>
        <v>-130254.70000000001</v>
      </c>
      <c r="I57" s="93"/>
    </row>
    <row r="58" spans="2:9" ht="20.399999999999999" x14ac:dyDescent="0.35">
      <c r="B58" s="89"/>
      <c r="C58" s="90"/>
      <c r="D58" s="90"/>
      <c r="E58" s="91" t="s">
        <v>60</v>
      </c>
      <c r="F58" s="88">
        <f>((C46-F57)/C46)</f>
        <v>1</v>
      </c>
      <c r="G58" s="88"/>
      <c r="H58" s="93"/>
      <c r="I58" s="93"/>
    </row>
    <row r="59" spans="2:9" ht="20.399999999999999" x14ac:dyDescent="0.35">
      <c r="B59" s="89"/>
      <c r="C59" s="90"/>
      <c r="D59" s="90"/>
      <c r="E59" s="91" t="s">
        <v>58</v>
      </c>
      <c r="F59" s="92">
        <f>F58*C46</f>
        <v>143840.18</v>
      </c>
      <c r="G59" s="92"/>
      <c r="H59" s="93"/>
      <c r="I59" s="93"/>
    </row>
    <row r="60" spans="2:9" ht="22.2" x14ac:dyDescent="0.35">
      <c r="B60" s="41"/>
      <c r="C60" s="40"/>
      <c r="D60" s="40"/>
      <c r="E60" s="91" t="s">
        <v>68</v>
      </c>
      <c r="F60" s="194">
        <f>C46-G57</f>
        <v>13585.479999999981</v>
      </c>
      <c r="G60" s="95"/>
      <c r="H60" s="81"/>
      <c r="I60" s="81"/>
    </row>
    <row r="61" spans="2:9" ht="15" x14ac:dyDescent="0.25">
      <c r="B61" s="41"/>
      <c r="C61" s="40"/>
      <c r="D61" s="40"/>
      <c r="E61" s="40"/>
      <c r="F61" s="40"/>
      <c r="G61" s="42"/>
      <c r="H61" s="43"/>
      <c r="I61" s="43"/>
    </row>
    <row r="62" spans="2:9" ht="15" x14ac:dyDescent="0.25">
      <c r="B62" s="41"/>
      <c r="C62" s="40"/>
      <c r="D62" s="40"/>
      <c r="E62" s="40"/>
      <c r="F62" s="40"/>
      <c r="G62" s="42"/>
      <c r="H62" s="43"/>
      <c r="I62" s="43"/>
    </row>
    <row r="63" spans="2:9" ht="15" x14ac:dyDescent="0.25">
      <c r="B63" s="41"/>
      <c r="C63" s="40"/>
      <c r="D63" s="40"/>
      <c r="E63" s="40"/>
      <c r="F63" s="40"/>
      <c r="G63" s="42"/>
      <c r="H63" s="43"/>
      <c r="I63" s="43"/>
    </row>
    <row r="64" spans="2:9" ht="15" x14ac:dyDescent="0.25">
      <c r="B64" s="41"/>
      <c r="C64" s="40"/>
      <c r="D64" s="40"/>
      <c r="E64" s="40"/>
      <c r="F64" s="40"/>
      <c r="G64" s="42"/>
      <c r="H64" s="43"/>
      <c r="I64" s="43"/>
    </row>
    <row r="65" spans="2:9" ht="18" x14ac:dyDescent="0.45">
      <c r="B65" s="7"/>
      <c r="C65" s="12"/>
      <c r="D65" s="9"/>
      <c r="E65" s="9"/>
      <c r="F65" s="39"/>
      <c r="G65" s="44"/>
      <c r="H65" s="12"/>
      <c r="I65" s="7"/>
    </row>
    <row r="66" spans="2:9" ht="18" x14ac:dyDescent="0.45">
      <c r="B66" s="7"/>
      <c r="C66" s="12"/>
      <c r="D66" s="9"/>
      <c r="E66" s="9"/>
      <c r="F66" s="45"/>
      <c r="G66" s="46"/>
      <c r="H66" s="12"/>
      <c r="I66" s="7"/>
    </row>
    <row r="67" spans="2:9" ht="18" x14ac:dyDescent="0.45">
      <c r="B67" s="7"/>
      <c r="C67" s="12"/>
      <c r="D67" s="9"/>
      <c r="E67" s="9"/>
      <c r="F67" s="12"/>
      <c r="G67" s="12"/>
      <c r="H67" s="12"/>
      <c r="I67" s="7"/>
    </row>
  </sheetData>
  <mergeCells count="8">
    <mergeCell ref="H47:H48"/>
    <mergeCell ref="I47:I48"/>
    <mergeCell ref="E4:F5"/>
    <mergeCell ref="B47:B48"/>
    <mergeCell ref="C47:D48"/>
    <mergeCell ref="E47:E48"/>
    <mergeCell ref="F47:F48"/>
    <mergeCell ref="G47:G48"/>
  </mergeCells>
  <conditionalFormatting sqref="H49:H57">
    <cfRule type="cellIs" dxfId="66" priority="1" operator="lessThan">
      <formula>0</formula>
    </cfRule>
    <cfRule type="cellIs" dxfId="65" priority="2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F8B31-EE87-4B77-BF30-070962114847}">
  <sheetPr>
    <tabColor theme="2" tint="-0.749992370372631"/>
  </sheetPr>
  <dimension ref="B1:BW74"/>
  <sheetViews>
    <sheetView topLeftCell="A57" zoomScale="60" zoomScaleNormal="60" workbookViewId="0">
      <selection activeCell="H41" sqref="H41"/>
    </sheetView>
  </sheetViews>
  <sheetFormatPr defaultRowHeight="13.8" x14ac:dyDescent="0.25"/>
  <cols>
    <col min="2" max="2" width="21.59765625" style="1" customWidth="1"/>
    <col min="3" max="3" width="38.19921875" style="1" customWidth="1"/>
    <col min="4" max="4" width="17.5" style="1" customWidth="1"/>
    <col min="5" max="5" width="50.5" style="1" customWidth="1"/>
    <col min="6" max="6" width="38.09765625" style="1" customWidth="1"/>
    <col min="7" max="7" width="26" style="1" customWidth="1"/>
    <col min="8" max="9" width="22.19921875" style="1" customWidth="1"/>
    <col min="10" max="10" width="16.796875" customWidth="1"/>
    <col min="12" max="12" width="13" bestFit="1" customWidth="1"/>
    <col min="13" max="13" width="12.8984375" bestFit="1" customWidth="1"/>
    <col min="21" max="21" width="6.5" style="177" customWidth="1"/>
    <col min="22" max="26" width="14.09765625" customWidth="1"/>
    <col min="27" max="27" width="6.09765625" style="177" customWidth="1"/>
    <col min="28" max="54" width="4.796875" style="177" customWidth="1"/>
    <col min="55" max="55" width="8.8984375" style="177" customWidth="1"/>
    <col min="56" max="56" width="12.09765625" style="177" customWidth="1"/>
    <col min="57" max="75" width="4.796875" style="177" customWidth="1"/>
  </cols>
  <sheetData>
    <row r="1" spans="2:75" ht="22.2" x14ac:dyDescent="0.35">
      <c r="B1" s="14" t="s">
        <v>0</v>
      </c>
      <c r="C1" s="2" t="str">
        <f>'All Job balance report'!D12</f>
        <v>บริษัท เจตภัทร คอนสตรัคชั่น แอนด์ ดีไซน์ จำกัด</v>
      </c>
      <c r="D1" s="2"/>
      <c r="E1" s="2"/>
      <c r="F1" s="3"/>
      <c r="G1" s="3"/>
      <c r="H1" s="146" t="s">
        <v>1</v>
      </c>
      <c r="I1" s="147">
        <v>45818</v>
      </c>
    </row>
    <row r="2" spans="2:75" ht="22.2" x14ac:dyDescent="0.55000000000000004">
      <c r="B2" s="4" t="s">
        <v>2</v>
      </c>
      <c r="C2" s="5" t="str">
        <f>'All Job balance report'!F12</f>
        <v>งานติดตั้งคอนโด The Line Vibe ห้อง549</v>
      </c>
      <c r="D2" s="5"/>
      <c r="E2" s="5"/>
      <c r="F2" s="3"/>
      <c r="G2" s="3"/>
      <c r="H2" s="146" t="s">
        <v>3</v>
      </c>
      <c r="I2" s="148"/>
    </row>
    <row r="3" spans="2:75" ht="22.2" x14ac:dyDescent="0.55000000000000004">
      <c r="B3" s="4" t="s">
        <v>74</v>
      </c>
      <c r="C3" s="145" t="str">
        <f>C52</f>
        <v>JEP-2601/001</v>
      </c>
      <c r="D3" s="6"/>
      <c r="E3" s="6"/>
      <c r="F3" s="7"/>
      <c r="G3" s="7"/>
      <c r="H3" s="7"/>
      <c r="I3" s="7"/>
    </row>
    <row r="4" spans="2:75" ht="22.2" customHeight="1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AA4" s="568">
        <v>45811</v>
      </c>
      <c r="AB4" s="568">
        <v>45812</v>
      </c>
      <c r="AC4" s="568">
        <v>45813</v>
      </c>
      <c r="AD4" s="568">
        <v>45814</v>
      </c>
      <c r="AE4" s="568">
        <v>45815</v>
      </c>
      <c r="AF4" s="571">
        <v>45816</v>
      </c>
      <c r="AG4" s="568">
        <v>45817</v>
      </c>
      <c r="AH4" s="568">
        <v>45818</v>
      </c>
      <c r="AI4" s="568">
        <v>45819</v>
      </c>
      <c r="AJ4" s="568">
        <v>45820</v>
      </c>
      <c r="AK4" s="568">
        <v>45821</v>
      </c>
      <c r="AL4" s="568">
        <v>45822</v>
      </c>
      <c r="AM4" s="571">
        <v>45823</v>
      </c>
      <c r="AN4" s="568">
        <v>45824</v>
      </c>
      <c r="AO4" s="568">
        <v>45825</v>
      </c>
      <c r="AP4" s="568">
        <v>45826</v>
      </c>
      <c r="AQ4" s="568">
        <v>45827</v>
      </c>
      <c r="AR4" s="568">
        <v>45828</v>
      </c>
      <c r="AS4" s="568">
        <v>45829</v>
      </c>
      <c r="AT4" s="571">
        <v>45830</v>
      </c>
      <c r="AU4" s="568">
        <v>45831</v>
      </c>
      <c r="AV4" s="568">
        <v>45832</v>
      </c>
      <c r="AW4" s="568">
        <v>45833</v>
      </c>
      <c r="AX4" s="568">
        <v>45834</v>
      </c>
      <c r="AY4" s="568">
        <v>45835</v>
      </c>
      <c r="AZ4" s="568">
        <v>45836</v>
      </c>
      <c r="BA4" s="571">
        <v>45837</v>
      </c>
      <c r="BB4" s="568">
        <v>45838</v>
      </c>
      <c r="BC4" s="182"/>
      <c r="BD4" s="182"/>
      <c r="BE4" s="568">
        <v>45839</v>
      </c>
      <c r="BF4" s="568">
        <v>45840</v>
      </c>
      <c r="BG4" s="568">
        <v>45841</v>
      </c>
      <c r="BH4" s="568">
        <v>45842</v>
      </c>
      <c r="BI4" s="568">
        <v>45843</v>
      </c>
      <c r="BJ4" s="571">
        <v>45844</v>
      </c>
      <c r="BK4" s="568">
        <v>45845</v>
      </c>
      <c r="BL4" s="568">
        <v>45846</v>
      </c>
      <c r="BM4" s="568">
        <v>45847</v>
      </c>
      <c r="BN4" s="568">
        <v>45848</v>
      </c>
      <c r="BO4" s="568">
        <v>45849</v>
      </c>
      <c r="BP4" s="568">
        <v>45850</v>
      </c>
      <c r="BQ4" s="571">
        <v>45851</v>
      </c>
      <c r="BR4" s="568">
        <v>45852</v>
      </c>
      <c r="BS4" s="568">
        <v>45853</v>
      </c>
      <c r="BT4" s="568">
        <v>45854</v>
      </c>
      <c r="BU4" s="568">
        <v>45855</v>
      </c>
      <c r="BV4" s="568">
        <v>45856</v>
      </c>
      <c r="BW4" s="568">
        <v>45857</v>
      </c>
    </row>
    <row r="5" spans="2:75" ht="22.2" x14ac:dyDescent="0.55000000000000004">
      <c r="B5" s="4" t="s">
        <v>7</v>
      </c>
      <c r="C5" s="11">
        <f>C53</f>
        <v>12000</v>
      </c>
      <c r="D5" s="9"/>
      <c r="E5" s="556"/>
      <c r="F5" s="556"/>
      <c r="G5" s="3"/>
      <c r="H5" s="7"/>
      <c r="I5" s="7"/>
      <c r="AA5" s="569"/>
      <c r="AB5" s="569"/>
      <c r="AC5" s="569"/>
      <c r="AD5" s="569"/>
      <c r="AE5" s="569"/>
      <c r="AF5" s="572"/>
      <c r="AG5" s="569"/>
      <c r="AH5" s="569"/>
      <c r="AI5" s="569"/>
      <c r="AJ5" s="569"/>
      <c r="AK5" s="569"/>
      <c r="AL5" s="569"/>
      <c r="AM5" s="572"/>
      <c r="AN5" s="569"/>
      <c r="AO5" s="569"/>
      <c r="AP5" s="569"/>
      <c r="AQ5" s="569"/>
      <c r="AR5" s="569"/>
      <c r="AS5" s="569"/>
      <c r="AT5" s="572"/>
      <c r="AU5" s="569"/>
      <c r="AV5" s="569"/>
      <c r="AW5" s="569"/>
      <c r="AX5" s="569"/>
      <c r="AY5" s="569"/>
      <c r="AZ5" s="569"/>
      <c r="BA5" s="572"/>
      <c r="BB5" s="569"/>
      <c r="BC5" s="183"/>
      <c r="BD5" s="183"/>
      <c r="BE5" s="569"/>
      <c r="BF5" s="569"/>
      <c r="BG5" s="569"/>
      <c r="BH5" s="569"/>
      <c r="BI5" s="569"/>
      <c r="BJ5" s="572"/>
      <c r="BK5" s="569"/>
      <c r="BL5" s="569"/>
      <c r="BM5" s="569"/>
      <c r="BN5" s="569"/>
      <c r="BO5" s="569"/>
      <c r="BP5" s="569"/>
      <c r="BQ5" s="572"/>
      <c r="BR5" s="569"/>
      <c r="BS5" s="569"/>
      <c r="BT5" s="569"/>
      <c r="BU5" s="569"/>
      <c r="BV5" s="569"/>
      <c r="BW5" s="569"/>
    </row>
    <row r="6" spans="2:75" ht="26.4" x14ac:dyDescent="0.55000000000000004">
      <c r="B6" s="4" t="s">
        <v>8</v>
      </c>
      <c r="C6" s="11">
        <f>F64</f>
        <v>98300</v>
      </c>
      <c r="D6" s="12"/>
      <c r="E6" s="13"/>
      <c r="F6" s="10"/>
      <c r="G6" s="3"/>
      <c r="H6" s="7"/>
      <c r="I6" s="7"/>
      <c r="Z6">
        <v>100</v>
      </c>
      <c r="AA6" s="570"/>
      <c r="AB6" s="570"/>
      <c r="AC6" s="570"/>
      <c r="AD6" s="570"/>
      <c r="AE6" s="570"/>
      <c r="AF6" s="573"/>
      <c r="AG6" s="570"/>
      <c r="AH6" s="570"/>
      <c r="AI6" s="570"/>
      <c r="AJ6" s="570"/>
      <c r="AK6" s="570"/>
      <c r="AL6" s="570"/>
      <c r="AM6" s="573"/>
      <c r="AN6" s="570"/>
      <c r="AO6" s="570"/>
      <c r="AP6" s="570"/>
      <c r="AQ6" s="570"/>
      <c r="AR6" s="570"/>
      <c r="AS6" s="570"/>
      <c r="AT6" s="573"/>
      <c r="AU6" s="570"/>
      <c r="AV6" s="570"/>
      <c r="AW6" s="570"/>
      <c r="AX6" s="570"/>
      <c r="AY6" s="570"/>
      <c r="AZ6" s="570"/>
      <c r="BA6" s="573"/>
      <c r="BB6" s="570"/>
      <c r="BC6" s="184"/>
      <c r="BD6" s="184"/>
      <c r="BE6" s="570"/>
      <c r="BF6" s="570"/>
      <c r="BG6" s="570"/>
      <c r="BH6" s="570"/>
      <c r="BI6" s="570"/>
      <c r="BJ6" s="573"/>
      <c r="BK6" s="570"/>
      <c r="BL6" s="570"/>
      <c r="BM6" s="570"/>
      <c r="BN6" s="570"/>
      <c r="BO6" s="570"/>
      <c r="BP6" s="570"/>
      <c r="BQ6" s="573"/>
      <c r="BR6" s="570"/>
      <c r="BS6" s="570"/>
      <c r="BT6" s="570"/>
      <c r="BU6" s="570"/>
      <c r="BV6" s="570"/>
      <c r="BW6" s="570"/>
    </row>
    <row r="7" spans="2:75" ht="22.2" x14ac:dyDescent="0.55000000000000004">
      <c r="B7" s="15" t="s">
        <v>9</v>
      </c>
      <c r="C7" s="16">
        <f>(C5-C6)/C5</f>
        <v>-7.1916666666666664</v>
      </c>
      <c r="D7" s="15" t="s">
        <v>10</v>
      </c>
      <c r="E7" s="17">
        <v>1</v>
      </c>
      <c r="F7" s="18"/>
      <c r="G7" s="18"/>
      <c r="H7" s="18"/>
      <c r="I7" s="18"/>
      <c r="U7" s="178" t="s">
        <v>63</v>
      </c>
      <c r="V7" s="178" t="s">
        <v>129</v>
      </c>
      <c r="W7" s="178" t="s">
        <v>130</v>
      </c>
      <c r="X7" s="181" t="s">
        <v>131</v>
      </c>
      <c r="Y7" s="178" t="s">
        <v>156</v>
      </c>
      <c r="Z7" s="178" t="s">
        <v>157</v>
      </c>
      <c r="AA7" s="188">
        <f>SUM(AA8:AA31)</f>
        <v>4</v>
      </c>
      <c r="AB7" s="188">
        <f t="shared" ref="AB7:BW7" si="0">SUM(AB8:AB31)</f>
        <v>3</v>
      </c>
      <c r="AC7" s="188">
        <f t="shared" si="0"/>
        <v>3</v>
      </c>
      <c r="AD7" s="188">
        <f t="shared" si="0"/>
        <v>3</v>
      </c>
      <c r="AE7" s="188">
        <f t="shared" si="0"/>
        <v>3</v>
      </c>
      <c r="AF7" s="188">
        <f t="shared" si="0"/>
        <v>0</v>
      </c>
      <c r="AG7" s="188">
        <f t="shared" si="0"/>
        <v>11</v>
      </c>
      <c r="AH7" s="188">
        <f t="shared" si="0"/>
        <v>11</v>
      </c>
      <c r="AI7" s="188">
        <f t="shared" si="0"/>
        <v>11</v>
      </c>
      <c r="AJ7" s="188">
        <f t="shared" si="0"/>
        <v>11</v>
      </c>
      <c r="AK7" s="188">
        <f t="shared" si="0"/>
        <v>11</v>
      </c>
      <c r="AL7" s="188">
        <f t="shared" si="0"/>
        <v>11</v>
      </c>
      <c r="AM7" s="188">
        <f t="shared" si="0"/>
        <v>0</v>
      </c>
      <c r="AN7" s="188">
        <f t="shared" si="0"/>
        <v>11</v>
      </c>
      <c r="AO7" s="188">
        <f t="shared" si="0"/>
        <v>11</v>
      </c>
      <c r="AP7" s="188">
        <f t="shared" si="0"/>
        <v>11</v>
      </c>
      <c r="AQ7" s="188">
        <f t="shared" si="0"/>
        <v>11</v>
      </c>
      <c r="AR7" s="188">
        <f t="shared" si="0"/>
        <v>11</v>
      </c>
      <c r="AS7" s="188">
        <f t="shared" si="0"/>
        <v>11</v>
      </c>
      <c r="AT7" s="188">
        <f t="shared" si="0"/>
        <v>0</v>
      </c>
      <c r="AU7" s="188">
        <f t="shared" si="0"/>
        <v>11</v>
      </c>
      <c r="AV7" s="188">
        <f t="shared" si="0"/>
        <v>11</v>
      </c>
      <c r="AW7" s="188">
        <f t="shared" si="0"/>
        <v>0</v>
      </c>
      <c r="AX7" s="188">
        <f t="shared" si="0"/>
        <v>0</v>
      </c>
      <c r="AY7" s="188">
        <f t="shared" si="0"/>
        <v>0</v>
      </c>
      <c r="AZ7" s="188">
        <f t="shared" si="0"/>
        <v>0</v>
      </c>
      <c r="BA7" s="188">
        <f t="shared" si="0"/>
        <v>0</v>
      </c>
      <c r="BB7" s="188">
        <f t="shared" si="0"/>
        <v>0</v>
      </c>
      <c r="BC7" s="188"/>
      <c r="BD7" s="188"/>
      <c r="BE7" s="188">
        <f t="shared" si="0"/>
        <v>0</v>
      </c>
      <c r="BF7" s="188">
        <f t="shared" si="0"/>
        <v>0</v>
      </c>
      <c r="BG7" s="188">
        <f t="shared" si="0"/>
        <v>0</v>
      </c>
      <c r="BH7" s="188">
        <f t="shared" si="0"/>
        <v>0</v>
      </c>
      <c r="BI7" s="188">
        <f t="shared" si="0"/>
        <v>0</v>
      </c>
      <c r="BJ7" s="188">
        <f t="shared" si="0"/>
        <v>0</v>
      </c>
      <c r="BK7" s="188">
        <f t="shared" si="0"/>
        <v>0</v>
      </c>
      <c r="BL7" s="188">
        <f t="shared" si="0"/>
        <v>0</v>
      </c>
      <c r="BM7" s="188">
        <f t="shared" si="0"/>
        <v>0</v>
      </c>
      <c r="BN7" s="188">
        <f t="shared" si="0"/>
        <v>0</v>
      </c>
      <c r="BO7" s="188">
        <f t="shared" si="0"/>
        <v>0</v>
      </c>
      <c r="BP7" s="188">
        <f t="shared" si="0"/>
        <v>0</v>
      </c>
      <c r="BQ7" s="188">
        <f t="shared" si="0"/>
        <v>0</v>
      </c>
      <c r="BR7" s="188">
        <f t="shared" si="0"/>
        <v>0</v>
      </c>
      <c r="BS7" s="188">
        <f t="shared" si="0"/>
        <v>0</v>
      </c>
      <c r="BT7" s="188">
        <f t="shared" si="0"/>
        <v>0</v>
      </c>
      <c r="BU7" s="188">
        <f t="shared" si="0"/>
        <v>0</v>
      </c>
      <c r="BV7" s="188">
        <f t="shared" si="0"/>
        <v>0</v>
      </c>
      <c r="BW7" s="188">
        <f t="shared" si="0"/>
        <v>0</v>
      </c>
    </row>
    <row r="8" spans="2:75" ht="30" customHeight="1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65" t="s">
        <v>16</v>
      </c>
      <c r="J8" s="174" t="s">
        <v>126</v>
      </c>
      <c r="U8" s="179">
        <v>1</v>
      </c>
      <c r="V8" s="180" t="s">
        <v>132</v>
      </c>
      <c r="W8" s="150">
        <v>31500</v>
      </c>
      <c r="X8" s="150">
        <v>1050</v>
      </c>
      <c r="Y8" s="150">
        <v>1400</v>
      </c>
      <c r="Z8" s="150"/>
      <c r="AA8" s="179"/>
      <c r="AB8" s="179"/>
      <c r="AC8" s="179"/>
      <c r="AD8" s="179"/>
      <c r="AE8" s="179"/>
      <c r="AF8" s="179"/>
      <c r="AG8" s="179">
        <v>1</v>
      </c>
      <c r="AH8" s="179">
        <v>1</v>
      </c>
      <c r="AI8" s="179">
        <v>1</v>
      </c>
      <c r="AJ8" s="179">
        <v>1</v>
      </c>
      <c r="AK8" s="179">
        <v>1</v>
      </c>
      <c r="AL8" s="179">
        <v>1</v>
      </c>
      <c r="AM8" s="179"/>
      <c r="AN8" s="179">
        <v>1</v>
      </c>
      <c r="AO8" s="179">
        <v>1</v>
      </c>
      <c r="AP8" s="179">
        <v>1</v>
      </c>
      <c r="AQ8" s="179">
        <v>1</v>
      </c>
      <c r="AR8" s="179">
        <v>1</v>
      </c>
      <c r="AS8" s="179">
        <v>1</v>
      </c>
      <c r="AT8" s="179"/>
      <c r="AU8" s="179">
        <v>1</v>
      </c>
      <c r="AV8" s="179">
        <v>1</v>
      </c>
      <c r="AW8" s="179"/>
      <c r="AX8" s="179"/>
      <c r="AY8" s="179"/>
      <c r="AZ8" s="179"/>
      <c r="BA8" s="179"/>
      <c r="BB8" s="179"/>
      <c r="BC8" s="179">
        <f>SUM(AA8:BB8)</f>
        <v>14</v>
      </c>
      <c r="BD8" s="191">
        <f>(BC8*X8)+Y8+Z8</f>
        <v>16100</v>
      </c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  <c r="BS8" s="179"/>
      <c r="BT8" s="179"/>
      <c r="BU8" s="179"/>
      <c r="BV8" s="179"/>
      <c r="BW8" s="179"/>
    </row>
    <row r="9" spans="2:75" ht="30" customHeight="1" x14ac:dyDescent="0.25">
      <c r="B9" s="22"/>
      <c r="C9" s="23"/>
      <c r="D9" s="23"/>
      <c r="E9" s="23"/>
      <c r="F9" s="23"/>
      <c r="G9" s="24"/>
      <c r="H9" s="25"/>
      <c r="I9" s="166"/>
      <c r="J9" s="175"/>
      <c r="U9" s="179">
        <v>2</v>
      </c>
      <c r="V9" s="175" t="s">
        <v>133</v>
      </c>
      <c r="W9" s="150">
        <v>21300</v>
      </c>
      <c r="X9" s="150">
        <v>710</v>
      </c>
      <c r="Y9" s="150">
        <v>1400</v>
      </c>
      <c r="Z9" s="150">
        <v>2000</v>
      </c>
      <c r="AA9" s="179">
        <v>1</v>
      </c>
      <c r="AB9" s="179"/>
      <c r="AC9" s="179"/>
      <c r="AD9" s="179"/>
      <c r="AE9" s="179"/>
      <c r="AF9" s="179"/>
      <c r="AG9" s="179">
        <v>1</v>
      </c>
      <c r="AH9" s="179">
        <v>1</v>
      </c>
      <c r="AI9" s="179">
        <v>1</v>
      </c>
      <c r="AJ9" s="179">
        <v>1</v>
      </c>
      <c r="AK9" s="179">
        <v>1</v>
      </c>
      <c r="AL9" s="179">
        <v>1</v>
      </c>
      <c r="AM9" s="179"/>
      <c r="AN9" s="179">
        <v>1</v>
      </c>
      <c r="AO9" s="179">
        <v>1</v>
      </c>
      <c r="AP9" s="179">
        <v>1</v>
      </c>
      <c r="AQ9" s="179">
        <v>1</v>
      </c>
      <c r="AR9" s="179">
        <v>1</v>
      </c>
      <c r="AS9" s="179">
        <v>1</v>
      </c>
      <c r="AT9" s="179"/>
      <c r="AU9" s="179">
        <v>1</v>
      </c>
      <c r="AV9" s="179">
        <v>1</v>
      </c>
      <c r="AW9" s="179"/>
      <c r="AX9" s="179"/>
      <c r="AY9" s="179"/>
      <c r="AZ9" s="179"/>
      <c r="BA9" s="179"/>
      <c r="BB9" s="179"/>
      <c r="BC9" s="179">
        <f t="shared" ref="BC9:BC31" si="1">SUM(AA9:BB9)</f>
        <v>15</v>
      </c>
      <c r="BD9" s="191">
        <f t="shared" ref="BD9:BD31" si="2">(BC9*X9)+Y9+Z9</f>
        <v>14050</v>
      </c>
      <c r="BE9" s="179"/>
      <c r="BF9" s="179"/>
      <c r="BG9" s="179"/>
      <c r="BH9" s="179"/>
      <c r="BI9" s="179"/>
      <c r="BJ9" s="179"/>
      <c r="BK9" s="179"/>
      <c r="BL9" s="179"/>
      <c r="BM9" s="179"/>
      <c r="BN9" s="179"/>
      <c r="BO9" s="179"/>
      <c r="BP9" s="179"/>
      <c r="BQ9" s="179"/>
      <c r="BR9" s="179"/>
      <c r="BS9" s="179"/>
      <c r="BT9" s="179"/>
      <c r="BU9" s="179"/>
      <c r="BV9" s="179"/>
      <c r="BW9" s="179"/>
    </row>
    <row r="10" spans="2:75" ht="25.8" x14ac:dyDescent="0.65">
      <c r="B10" s="103">
        <v>1</v>
      </c>
      <c r="C10" s="61" t="s">
        <v>30</v>
      </c>
      <c r="D10" s="64">
        <v>10</v>
      </c>
      <c r="E10" s="61" t="s">
        <v>173</v>
      </c>
      <c r="F10" s="61"/>
      <c r="G10" s="70">
        <v>35608.800000000003</v>
      </c>
      <c r="H10" s="63" t="s">
        <v>17</v>
      </c>
      <c r="I10" s="167">
        <v>45821</v>
      </c>
      <c r="J10" s="175" t="s">
        <v>182</v>
      </c>
      <c r="U10" s="179">
        <v>3</v>
      </c>
      <c r="V10" s="175" t="s">
        <v>134</v>
      </c>
      <c r="W10" s="150">
        <v>18500</v>
      </c>
      <c r="X10" s="150">
        <v>616.66666666666663</v>
      </c>
      <c r="Y10" s="150"/>
      <c r="Z10" s="150">
        <f t="shared" ref="Z10:Z31" si="3">$Z$6*BC11</f>
        <v>1400</v>
      </c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/>
      <c r="AY10" s="179"/>
      <c r="AZ10" s="179"/>
      <c r="BA10" s="179"/>
      <c r="BB10" s="179"/>
      <c r="BC10" s="179">
        <f t="shared" si="1"/>
        <v>0</v>
      </c>
      <c r="BD10" s="191">
        <f t="shared" si="2"/>
        <v>1400</v>
      </c>
      <c r="BE10" s="179"/>
      <c r="BF10" s="179"/>
      <c r="BG10" s="179"/>
      <c r="BH10" s="179"/>
      <c r="BI10" s="179"/>
      <c r="BJ10" s="179"/>
      <c r="BK10" s="179"/>
      <c r="BL10" s="179"/>
      <c r="BM10" s="179"/>
      <c r="BN10" s="179"/>
      <c r="BO10" s="179"/>
      <c r="BP10" s="179"/>
      <c r="BQ10" s="179"/>
      <c r="BR10" s="179"/>
      <c r="BS10" s="179"/>
      <c r="BT10" s="179"/>
      <c r="BU10" s="179"/>
      <c r="BV10" s="179"/>
      <c r="BW10" s="179"/>
    </row>
    <row r="11" spans="2:75" ht="25.8" x14ac:dyDescent="0.65">
      <c r="B11" s="104">
        <v>2</v>
      </c>
      <c r="C11" s="61" t="s">
        <v>171</v>
      </c>
      <c r="D11" s="64">
        <v>10</v>
      </c>
      <c r="E11" s="61" t="s">
        <v>172</v>
      </c>
      <c r="F11" s="61"/>
      <c r="G11" s="70">
        <v>5500</v>
      </c>
      <c r="H11" s="63" t="s">
        <v>17</v>
      </c>
      <c r="I11" s="168">
        <v>45825</v>
      </c>
      <c r="J11" s="175" t="s">
        <v>181</v>
      </c>
      <c r="U11" s="179">
        <v>4</v>
      </c>
      <c r="V11" s="175" t="s">
        <v>135</v>
      </c>
      <c r="W11" s="150">
        <v>15000</v>
      </c>
      <c r="X11" s="150">
        <v>500</v>
      </c>
      <c r="Y11" s="150"/>
      <c r="Z11" s="150">
        <f t="shared" si="3"/>
        <v>1400</v>
      </c>
      <c r="AA11" s="179"/>
      <c r="AB11" s="179"/>
      <c r="AC11" s="179"/>
      <c r="AD11" s="179"/>
      <c r="AE11" s="179"/>
      <c r="AF11" s="179"/>
      <c r="AG11" s="179">
        <v>1</v>
      </c>
      <c r="AH11" s="179">
        <v>1</v>
      </c>
      <c r="AI11" s="179">
        <v>1</v>
      </c>
      <c r="AJ11" s="179">
        <v>1</v>
      </c>
      <c r="AK11" s="179">
        <v>1</v>
      </c>
      <c r="AL11" s="179">
        <v>1</v>
      </c>
      <c r="AM11" s="179"/>
      <c r="AN11" s="179">
        <v>1</v>
      </c>
      <c r="AO11" s="179">
        <v>1</v>
      </c>
      <c r="AP11" s="179">
        <v>1</v>
      </c>
      <c r="AQ11" s="179">
        <v>1</v>
      </c>
      <c r="AR11" s="179">
        <v>1</v>
      </c>
      <c r="AS11" s="179">
        <v>1</v>
      </c>
      <c r="AT11" s="179"/>
      <c r="AU11" s="179">
        <v>1</v>
      </c>
      <c r="AV11" s="179">
        <v>1</v>
      </c>
      <c r="AW11" s="179"/>
      <c r="AX11" s="179"/>
      <c r="AY11" s="179"/>
      <c r="AZ11" s="179"/>
      <c r="BA11" s="179"/>
      <c r="BB11" s="179"/>
      <c r="BC11" s="179">
        <f t="shared" si="1"/>
        <v>14</v>
      </c>
      <c r="BD11" s="191">
        <f t="shared" si="2"/>
        <v>8400</v>
      </c>
      <c r="BE11" s="179"/>
      <c r="BF11" s="179"/>
      <c r="BG11" s="179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9"/>
      <c r="BS11" s="179"/>
      <c r="BT11" s="179"/>
      <c r="BU11" s="179"/>
      <c r="BV11" s="179"/>
      <c r="BW11" s="179"/>
    </row>
    <row r="12" spans="2:75" ht="25.8" x14ac:dyDescent="0.65">
      <c r="B12" s="104">
        <v>3</v>
      </c>
      <c r="C12" s="61" t="s">
        <v>171</v>
      </c>
      <c r="D12" s="64">
        <v>10</v>
      </c>
      <c r="E12" s="61" t="s">
        <v>174</v>
      </c>
      <c r="F12" s="61"/>
      <c r="G12" s="70">
        <v>10000</v>
      </c>
      <c r="H12" s="63" t="s">
        <v>17</v>
      </c>
      <c r="I12" s="168">
        <v>45833</v>
      </c>
      <c r="J12" s="175" t="s">
        <v>183</v>
      </c>
      <c r="U12" s="179">
        <v>5</v>
      </c>
      <c r="V12" s="175" t="s">
        <v>136</v>
      </c>
      <c r="W12" s="150">
        <v>14000</v>
      </c>
      <c r="X12" s="150">
        <v>466.66666666666669</v>
      </c>
      <c r="Y12" s="150"/>
      <c r="Z12" s="150">
        <f t="shared" si="3"/>
        <v>0</v>
      </c>
      <c r="AA12" s="179"/>
      <c r="AB12" s="179"/>
      <c r="AC12" s="179"/>
      <c r="AD12" s="179"/>
      <c r="AE12" s="179"/>
      <c r="AF12" s="179"/>
      <c r="AG12" s="179">
        <v>1</v>
      </c>
      <c r="AH12" s="179">
        <v>1</v>
      </c>
      <c r="AI12" s="179">
        <v>1</v>
      </c>
      <c r="AJ12" s="179">
        <v>1</v>
      </c>
      <c r="AK12" s="179">
        <v>1</v>
      </c>
      <c r="AL12" s="179">
        <v>1</v>
      </c>
      <c r="AM12" s="179"/>
      <c r="AN12" s="179">
        <v>1</v>
      </c>
      <c r="AO12" s="179">
        <v>1</v>
      </c>
      <c r="AP12" s="179">
        <v>1</v>
      </c>
      <c r="AQ12" s="179">
        <v>1</v>
      </c>
      <c r="AR12" s="179">
        <v>1</v>
      </c>
      <c r="AS12" s="179">
        <v>1</v>
      </c>
      <c r="AT12" s="179"/>
      <c r="AU12" s="179">
        <v>1</v>
      </c>
      <c r="AV12" s="179">
        <v>1</v>
      </c>
      <c r="AW12" s="179"/>
      <c r="AX12" s="179"/>
      <c r="AY12" s="179"/>
      <c r="AZ12" s="179"/>
      <c r="BA12" s="179"/>
      <c r="BB12" s="179"/>
      <c r="BC12" s="179">
        <f t="shared" si="1"/>
        <v>14</v>
      </c>
      <c r="BD12" s="191">
        <f t="shared" si="2"/>
        <v>6533.3333333333339</v>
      </c>
      <c r="BE12" s="179"/>
      <c r="BF12" s="179"/>
      <c r="BG12" s="179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</row>
    <row r="13" spans="2:75" ht="25.8" x14ac:dyDescent="0.65">
      <c r="B13" s="104">
        <v>4</v>
      </c>
      <c r="C13" s="61" t="s">
        <v>175</v>
      </c>
      <c r="D13" s="64">
        <v>10</v>
      </c>
      <c r="E13" s="61"/>
      <c r="F13" s="61"/>
      <c r="G13" s="70">
        <v>3000</v>
      </c>
      <c r="H13" s="63" t="s">
        <v>176</v>
      </c>
      <c r="I13" s="168">
        <v>45833</v>
      </c>
      <c r="J13" s="175"/>
      <c r="U13" s="179">
        <v>6</v>
      </c>
      <c r="V13" s="175" t="s">
        <v>137</v>
      </c>
      <c r="W13" s="150">
        <v>14000</v>
      </c>
      <c r="X13" s="150">
        <v>466.66666666666669</v>
      </c>
      <c r="Y13" s="150"/>
      <c r="Z13" s="150">
        <f t="shared" si="3"/>
        <v>0</v>
      </c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79">
        <f t="shared" si="1"/>
        <v>0</v>
      </c>
      <c r="BD13" s="191">
        <f t="shared" si="2"/>
        <v>0</v>
      </c>
      <c r="BE13" s="179"/>
      <c r="BF13" s="179"/>
      <c r="BG13" s="179"/>
      <c r="BH13" s="179"/>
      <c r="BI13" s="179"/>
      <c r="BJ13" s="179"/>
      <c r="BK13" s="179"/>
      <c r="BL13" s="179"/>
      <c r="BM13" s="179"/>
      <c r="BN13" s="179"/>
      <c r="BO13" s="179"/>
      <c r="BP13" s="179"/>
      <c r="BQ13" s="179"/>
      <c r="BR13" s="179"/>
      <c r="BS13" s="179"/>
      <c r="BT13" s="179"/>
      <c r="BU13" s="179"/>
      <c r="BV13" s="179"/>
      <c r="BW13" s="179"/>
    </row>
    <row r="14" spans="2:75" ht="25.8" x14ac:dyDescent="0.65">
      <c r="B14" s="104">
        <v>5</v>
      </c>
      <c r="C14" s="61" t="s">
        <v>177</v>
      </c>
      <c r="D14" s="64">
        <v>20</v>
      </c>
      <c r="E14" s="61"/>
      <c r="F14" s="61"/>
      <c r="G14" s="70">
        <v>32000</v>
      </c>
      <c r="H14" s="63" t="s">
        <v>17</v>
      </c>
      <c r="I14" s="168">
        <v>45833</v>
      </c>
      <c r="J14" s="175"/>
      <c r="U14" s="179">
        <v>78</v>
      </c>
      <c r="V14" s="175" t="s">
        <v>138</v>
      </c>
      <c r="W14" s="150">
        <v>13000</v>
      </c>
      <c r="X14" s="150">
        <v>433.33333333333331</v>
      </c>
      <c r="Y14" s="150"/>
      <c r="Z14" s="150">
        <f t="shared" si="3"/>
        <v>0</v>
      </c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>
        <f t="shared" si="1"/>
        <v>0</v>
      </c>
      <c r="BD14" s="191">
        <f t="shared" si="2"/>
        <v>0</v>
      </c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</row>
    <row r="15" spans="2:75" ht="26.4" customHeight="1" x14ac:dyDescent="0.65">
      <c r="B15" s="104">
        <v>6</v>
      </c>
      <c r="C15" s="159"/>
      <c r="D15" s="64">
        <v>10</v>
      </c>
      <c r="E15" s="61" t="s">
        <v>262</v>
      </c>
      <c r="F15" s="101"/>
      <c r="G15" s="70">
        <v>500</v>
      </c>
      <c r="H15" s="63" t="s">
        <v>17</v>
      </c>
      <c r="I15" s="168">
        <v>45847</v>
      </c>
      <c r="J15" s="175"/>
      <c r="U15" s="179">
        <v>8</v>
      </c>
      <c r="V15" s="175" t="s">
        <v>139</v>
      </c>
      <c r="W15" s="150">
        <v>14000</v>
      </c>
      <c r="X15" s="150">
        <v>466.66666666666669</v>
      </c>
      <c r="Y15" s="150"/>
      <c r="Z15" s="150">
        <f t="shared" si="3"/>
        <v>0</v>
      </c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>
        <f t="shared" si="1"/>
        <v>0</v>
      </c>
      <c r="BD15" s="191">
        <f t="shared" si="2"/>
        <v>0</v>
      </c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</row>
    <row r="16" spans="2:75" ht="25.8" x14ac:dyDescent="0.65">
      <c r="B16" s="104">
        <v>7</v>
      </c>
      <c r="C16" s="60"/>
      <c r="D16" s="64">
        <v>10</v>
      </c>
      <c r="E16" s="60" t="s">
        <v>263</v>
      </c>
      <c r="F16" s="60"/>
      <c r="G16" s="62">
        <v>1240</v>
      </c>
      <c r="H16" s="63" t="s">
        <v>17</v>
      </c>
      <c r="I16" s="168">
        <v>45847</v>
      </c>
      <c r="J16" s="175"/>
      <c r="U16" s="179">
        <v>9</v>
      </c>
      <c r="V16" s="175" t="s">
        <v>140</v>
      </c>
      <c r="W16" s="150">
        <v>50000</v>
      </c>
      <c r="X16" s="150">
        <v>1666.6666666666667</v>
      </c>
      <c r="Y16" s="150"/>
      <c r="Z16" s="150">
        <f t="shared" si="3"/>
        <v>1400</v>
      </c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>
        <f t="shared" si="1"/>
        <v>0</v>
      </c>
      <c r="BD16" s="191">
        <f t="shared" si="2"/>
        <v>1400</v>
      </c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</row>
    <row r="17" spans="2:75" ht="25.8" x14ac:dyDescent="0.65">
      <c r="B17" s="104">
        <v>8</v>
      </c>
      <c r="C17" s="61"/>
      <c r="D17" s="64">
        <v>10</v>
      </c>
      <c r="E17" s="61" t="s">
        <v>263</v>
      </c>
      <c r="F17" s="61"/>
      <c r="G17" s="70">
        <v>240</v>
      </c>
      <c r="H17" s="63" t="s">
        <v>17</v>
      </c>
      <c r="I17" s="167">
        <v>45847</v>
      </c>
      <c r="J17" s="175"/>
      <c r="U17" s="179">
        <v>10</v>
      </c>
      <c r="V17" s="175" t="s">
        <v>141</v>
      </c>
      <c r="W17" s="150">
        <v>17000</v>
      </c>
      <c r="X17" s="150">
        <v>566.66666666666663</v>
      </c>
      <c r="Y17" s="150"/>
      <c r="Z17" s="150">
        <f t="shared" si="3"/>
        <v>0</v>
      </c>
      <c r="AA17" s="179"/>
      <c r="AB17" s="179"/>
      <c r="AC17" s="179"/>
      <c r="AD17" s="179"/>
      <c r="AE17" s="179"/>
      <c r="AF17" s="179"/>
      <c r="AG17" s="179">
        <v>1</v>
      </c>
      <c r="AH17" s="179">
        <v>1</v>
      </c>
      <c r="AI17" s="179">
        <v>1</v>
      </c>
      <c r="AJ17" s="179">
        <v>1</v>
      </c>
      <c r="AK17" s="179">
        <v>1</v>
      </c>
      <c r="AL17" s="179">
        <v>1</v>
      </c>
      <c r="AM17" s="179"/>
      <c r="AN17" s="179">
        <v>1</v>
      </c>
      <c r="AO17" s="179">
        <v>1</v>
      </c>
      <c r="AP17" s="179">
        <v>1</v>
      </c>
      <c r="AQ17" s="179">
        <v>1</v>
      </c>
      <c r="AR17" s="179">
        <v>1</v>
      </c>
      <c r="AS17" s="179">
        <v>1</v>
      </c>
      <c r="AT17" s="179"/>
      <c r="AU17" s="179">
        <v>1</v>
      </c>
      <c r="AV17" s="179">
        <v>1</v>
      </c>
      <c r="AW17" s="179"/>
      <c r="AX17" s="179"/>
      <c r="AY17" s="179"/>
      <c r="AZ17" s="179"/>
      <c r="BA17" s="179"/>
      <c r="BB17" s="179"/>
      <c r="BC17" s="179">
        <f t="shared" si="1"/>
        <v>14</v>
      </c>
      <c r="BD17" s="191">
        <f t="shared" si="2"/>
        <v>7933.333333333333</v>
      </c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</row>
    <row r="18" spans="2:75" ht="25.8" x14ac:dyDescent="0.65">
      <c r="B18" s="104">
        <v>9</v>
      </c>
      <c r="C18" s="61"/>
      <c r="D18" s="64">
        <v>10</v>
      </c>
      <c r="E18" s="61" t="s">
        <v>264</v>
      </c>
      <c r="F18" s="61"/>
      <c r="G18" s="70">
        <v>2000</v>
      </c>
      <c r="H18" s="63" t="s">
        <v>17</v>
      </c>
      <c r="I18" s="168">
        <v>45847</v>
      </c>
      <c r="J18" s="175"/>
      <c r="U18" s="179">
        <v>11</v>
      </c>
      <c r="V18" s="175" t="s">
        <v>142</v>
      </c>
      <c r="W18" s="150">
        <v>20000</v>
      </c>
      <c r="X18" s="150">
        <v>666.66666666666663</v>
      </c>
      <c r="Y18" s="150"/>
      <c r="Z18" s="150">
        <f t="shared" si="3"/>
        <v>1400</v>
      </c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>
        <f t="shared" si="1"/>
        <v>0</v>
      </c>
      <c r="BD18" s="191">
        <f t="shared" si="2"/>
        <v>1400</v>
      </c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</row>
    <row r="19" spans="2:75" ht="25.8" x14ac:dyDescent="0.65">
      <c r="B19" s="104">
        <v>10</v>
      </c>
      <c r="C19" s="61"/>
      <c r="D19" s="64">
        <v>50</v>
      </c>
      <c r="E19" s="61" t="s">
        <v>275</v>
      </c>
      <c r="F19" s="61"/>
      <c r="G19" s="70">
        <v>5307</v>
      </c>
      <c r="H19" s="63" t="s">
        <v>17</v>
      </c>
      <c r="I19" s="168">
        <v>45847</v>
      </c>
      <c r="J19" s="175"/>
      <c r="N19">
        <v>668</v>
      </c>
      <c r="O19">
        <f>N19*P19</f>
        <v>2004</v>
      </c>
      <c r="P19">
        <v>3</v>
      </c>
      <c r="R19">
        <f>N19/8</f>
        <v>83.5</v>
      </c>
      <c r="S19">
        <v>10</v>
      </c>
      <c r="T19">
        <f>S19*R19</f>
        <v>835</v>
      </c>
      <c r="U19" s="179">
        <v>12</v>
      </c>
      <c r="V19" s="175" t="s">
        <v>143</v>
      </c>
      <c r="W19" s="150">
        <v>4950</v>
      </c>
      <c r="X19" s="150">
        <v>450</v>
      </c>
      <c r="Y19" s="150"/>
      <c r="Z19" s="150">
        <f t="shared" si="3"/>
        <v>0</v>
      </c>
      <c r="AA19" s="179"/>
      <c r="AB19" s="179"/>
      <c r="AC19" s="179"/>
      <c r="AD19" s="179"/>
      <c r="AE19" s="179"/>
      <c r="AF19" s="179"/>
      <c r="AG19" s="179">
        <v>1</v>
      </c>
      <c r="AH19" s="179">
        <v>1</v>
      </c>
      <c r="AI19" s="179">
        <v>1</v>
      </c>
      <c r="AJ19" s="179">
        <v>1</v>
      </c>
      <c r="AK19" s="179">
        <v>1</v>
      </c>
      <c r="AL19" s="179">
        <v>1</v>
      </c>
      <c r="AM19" s="179"/>
      <c r="AN19" s="179">
        <v>1</v>
      </c>
      <c r="AO19" s="179">
        <v>1</v>
      </c>
      <c r="AP19" s="179">
        <v>1</v>
      </c>
      <c r="AQ19" s="179">
        <v>1</v>
      </c>
      <c r="AR19" s="179">
        <v>1</v>
      </c>
      <c r="AS19" s="179">
        <v>1</v>
      </c>
      <c r="AT19" s="179"/>
      <c r="AU19" s="179">
        <v>1</v>
      </c>
      <c r="AV19" s="179">
        <v>1</v>
      </c>
      <c r="AW19" s="179"/>
      <c r="AX19" s="179"/>
      <c r="AY19" s="179"/>
      <c r="AZ19" s="179"/>
      <c r="BA19" s="179"/>
      <c r="BB19" s="179"/>
      <c r="BC19" s="179">
        <f t="shared" si="1"/>
        <v>14</v>
      </c>
      <c r="BD19" s="191">
        <f t="shared" si="2"/>
        <v>6300</v>
      </c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79"/>
    </row>
    <row r="20" spans="2:75" ht="25.8" x14ac:dyDescent="0.65">
      <c r="B20" s="104">
        <v>11</v>
      </c>
      <c r="C20" s="61"/>
      <c r="D20" s="64">
        <v>50</v>
      </c>
      <c r="E20" s="61" t="s">
        <v>276</v>
      </c>
      <c r="F20" s="61"/>
      <c r="G20" s="70">
        <v>2000</v>
      </c>
      <c r="H20" s="63" t="s">
        <v>17</v>
      </c>
      <c r="I20" s="168">
        <v>45847</v>
      </c>
      <c r="J20" s="175"/>
      <c r="N20">
        <v>468</v>
      </c>
      <c r="O20">
        <f>N20*P20</f>
        <v>468</v>
      </c>
      <c r="P20">
        <v>1</v>
      </c>
      <c r="U20" s="179">
        <v>13</v>
      </c>
      <c r="V20" s="189" t="s">
        <v>144</v>
      </c>
      <c r="W20" s="190">
        <v>3300</v>
      </c>
      <c r="X20" s="190">
        <v>300</v>
      </c>
      <c r="Y20" s="150"/>
      <c r="Z20" s="150">
        <f t="shared" si="3"/>
        <v>0</v>
      </c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79"/>
      <c r="BA20" s="179"/>
      <c r="BB20" s="179"/>
      <c r="BC20" s="179">
        <f t="shared" si="1"/>
        <v>0</v>
      </c>
      <c r="BD20" s="191">
        <f t="shared" si="2"/>
        <v>0</v>
      </c>
      <c r="BE20" s="179"/>
      <c r="BF20" s="179"/>
      <c r="BG20" s="179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</row>
    <row r="21" spans="2:75" ht="25.8" x14ac:dyDescent="0.65">
      <c r="B21" s="104">
        <v>12</v>
      </c>
      <c r="C21" s="61" t="s">
        <v>117</v>
      </c>
      <c r="D21" s="64">
        <v>10</v>
      </c>
      <c r="E21" s="61" t="s">
        <v>277</v>
      </c>
      <c r="F21" s="61"/>
      <c r="G21" s="70">
        <v>976</v>
      </c>
      <c r="H21" s="63" t="s">
        <v>17</v>
      </c>
      <c r="I21" s="168">
        <v>45847</v>
      </c>
      <c r="J21" s="175"/>
      <c r="U21" s="179">
        <v>14</v>
      </c>
      <c r="V21" s="189" t="s">
        <v>145</v>
      </c>
      <c r="W21" s="190">
        <v>3300</v>
      </c>
      <c r="X21" s="190">
        <v>300</v>
      </c>
      <c r="Y21" s="150"/>
      <c r="Z21" s="150">
        <f t="shared" si="3"/>
        <v>0</v>
      </c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>
        <f t="shared" si="1"/>
        <v>0</v>
      </c>
      <c r="BD21" s="191">
        <f t="shared" si="2"/>
        <v>0</v>
      </c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</row>
    <row r="22" spans="2:75" ht="25.8" x14ac:dyDescent="0.65">
      <c r="B22" s="104">
        <v>13</v>
      </c>
      <c r="C22" s="61"/>
      <c r="D22" s="64"/>
      <c r="E22" s="61"/>
      <c r="F22" s="61"/>
      <c r="G22" s="70"/>
      <c r="H22" s="63"/>
      <c r="I22" s="171"/>
      <c r="J22" s="175"/>
      <c r="O22">
        <f>O20+O19+T19</f>
        <v>3307</v>
      </c>
      <c r="U22" s="179">
        <v>15</v>
      </c>
      <c r="V22" s="189" t="s">
        <v>146</v>
      </c>
      <c r="W22" s="190">
        <v>3300</v>
      </c>
      <c r="X22" s="190">
        <v>300</v>
      </c>
      <c r="Y22" s="150"/>
      <c r="Z22" s="150">
        <f t="shared" si="3"/>
        <v>0</v>
      </c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>
        <f t="shared" si="1"/>
        <v>0</v>
      </c>
      <c r="BD22" s="191">
        <f t="shared" si="2"/>
        <v>0</v>
      </c>
      <c r="BE22" s="179"/>
      <c r="BF22" s="179"/>
      <c r="BG22" s="179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79"/>
    </row>
    <row r="23" spans="2:75" ht="25.8" x14ac:dyDescent="0.65">
      <c r="B23" s="104">
        <v>14</v>
      </c>
      <c r="C23" s="61"/>
      <c r="D23" s="64"/>
      <c r="E23" s="61"/>
      <c r="F23" s="61"/>
      <c r="G23" s="70"/>
      <c r="H23" s="63"/>
      <c r="I23" s="171"/>
      <c r="J23" s="175"/>
      <c r="N23">
        <v>2000</v>
      </c>
      <c r="U23" s="179">
        <v>16</v>
      </c>
      <c r="V23" s="189" t="s">
        <v>147</v>
      </c>
      <c r="W23" s="190">
        <v>3300</v>
      </c>
      <c r="X23" s="190">
        <v>300</v>
      </c>
      <c r="Y23" s="150"/>
      <c r="Z23" s="150">
        <f t="shared" si="3"/>
        <v>1900</v>
      </c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9"/>
      <c r="BB23" s="179"/>
      <c r="BC23" s="179">
        <f t="shared" si="1"/>
        <v>0</v>
      </c>
      <c r="BD23" s="191">
        <f t="shared" si="2"/>
        <v>1900</v>
      </c>
      <c r="BE23" s="179"/>
      <c r="BF23" s="179"/>
      <c r="BG23" s="179"/>
      <c r="BH23" s="179"/>
      <c r="BI23" s="179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79"/>
    </row>
    <row r="24" spans="2:75" ht="25.8" x14ac:dyDescent="0.65">
      <c r="B24" s="193">
        <v>15</v>
      </c>
      <c r="C24" s="61"/>
      <c r="D24" s="64"/>
      <c r="E24" s="61"/>
      <c r="F24" s="61"/>
      <c r="G24" s="70"/>
      <c r="H24" s="63"/>
      <c r="I24" s="171"/>
      <c r="J24" s="175"/>
      <c r="U24" s="179">
        <v>17</v>
      </c>
      <c r="V24" s="175" t="s">
        <v>148</v>
      </c>
      <c r="W24" s="150">
        <v>2700</v>
      </c>
      <c r="X24" s="150">
        <v>300</v>
      </c>
      <c r="Y24" s="150"/>
      <c r="Z24" s="150">
        <f t="shared" si="3"/>
        <v>1900</v>
      </c>
      <c r="AA24" s="179">
        <v>1</v>
      </c>
      <c r="AB24" s="179">
        <v>1</v>
      </c>
      <c r="AC24" s="179">
        <v>1</v>
      </c>
      <c r="AD24" s="179">
        <v>1</v>
      </c>
      <c r="AE24" s="179">
        <v>1</v>
      </c>
      <c r="AF24" s="179"/>
      <c r="AG24" s="179">
        <v>1</v>
      </c>
      <c r="AH24" s="179">
        <v>1</v>
      </c>
      <c r="AI24" s="179">
        <v>1</v>
      </c>
      <c r="AJ24" s="179">
        <v>1</v>
      </c>
      <c r="AK24" s="179">
        <v>1</v>
      </c>
      <c r="AL24" s="179">
        <v>1</v>
      </c>
      <c r="AM24" s="179"/>
      <c r="AN24" s="179">
        <v>1</v>
      </c>
      <c r="AO24" s="179">
        <v>1</v>
      </c>
      <c r="AP24" s="179">
        <v>1</v>
      </c>
      <c r="AQ24" s="179">
        <v>1</v>
      </c>
      <c r="AR24" s="179">
        <v>1</v>
      </c>
      <c r="AS24" s="179">
        <v>1</v>
      </c>
      <c r="AT24" s="179"/>
      <c r="AU24" s="179">
        <v>1</v>
      </c>
      <c r="AV24" s="179">
        <v>1</v>
      </c>
      <c r="AW24" s="179"/>
      <c r="AX24" s="179"/>
      <c r="AY24" s="179"/>
      <c r="AZ24" s="179"/>
      <c r="BA24" s="179"/>
      <c r="BB24" s="179"/>
      <c r="BC24" s="179">
        <f t="shared" si="1"/>
        <v>19</v>
      </c>
      <c r="BD24" s="191">
        <f t="shared" si="2"/>
        <v>7600</v>
      </c>
      <c r="BE24" s="179"/>
      <c r="BF24" s="179"/>
      <c r="BG24" s="179"/>
      <c r="BH24" s="179"/>
      <c r="BI24" s="179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79"/>
    </row>
    <row r="25" spans="2:75" ht="25.8" x14ac:dyDescent="0.65">
      <c r="B25" s="104">
        <v>16</v>
      </c>
      <c r="C25" s="61"/>
      <c r="D25" s="64"/>
      <c r="E25" s="61"/>
      <c r="F25" s="61"/>
      <c r="G25" s="70"/>
      <c r="H25" s="161"/>
      <c r="I25" s="171"/>
      <c r="J25" s="175"/>
      <c r="U25" s="179">
        <v>18</v>
      </c>
      <c r="V25" s="175" t="s">
        <v>149</v>
      </c>
      <c r="W25" s="150">
        <v>2200</v>
      </c>
      <c r="X25" s="150">
        <v>200</v>
      </c>
      <c r="Y25" s="150"/>
      <c r="Z25" s="150">
        <f t="shared" si="3"/>
        <v>1900</v>
      </c>
      <c r="AA25" s="179">
        <v>1</v>
      </c>
      <c r="AB25" s="179">
        <v>1</v>
      </c>
      <c r="AC25" s="179">
        <v>1</v>
      </c>
      <c r="AD25" s="179">
        <v>1</v>
      </c>
      <c r="AE25" s="179">
        <v>1</v>
      </c>
      <c r="AF25" s="179"/>
      <c r="AG25" s="179">
        <v>1</v>
      </c>
      <c r="AH25" s="179">
        <v>1</v>
      </c>
      <c r="AI25" s="179">
        <v>1</v>
      </c>
      <c r="AJ25" s="179">
        <v>1</v>
      </c>
      <c r="AK25" s="179">
        <v>1</v>
      </c>
      <c r="AL25" s="179">
        <v>1</v>
      </c>
      <c r="AM25" s="179"/>
      <c r="AN25" s="179">
        <v>1</v>
      </c>
      <c r="AO25" s="179">
        <v>1</v>
      </c>
      <c r="AP25" s="179">
        <v>1</v>
      </c>
      <c r="AQ25" s="179">
        <v>1</v>
      </c>
      <c r="AR25" s="179">
        <v>1</v>
      </c>
      <c r="AS25" s="179">
        <v>1</v>
      </c>
      <c r="AT25" s="179"/>
      <c r="AU25" s="179">
        <v>1</v>
      </c>
      <c r="AV25" s="179">
        <v>1</v>
      </c>
      <c r="AW25" s="179"/>
      <c r="AX25" s="179"/>
      <c r="AY25" s="179"/>
      <c r="AZ25" s="179"/>
      <c r="BA25" s="179"/>
      <c r="BB25" s="179"/>
      <c r="BC25" s="179">
        <f t="shared" si="1"/>
        <v>19</v>
      </c>
      <c r="BD25" s="191">
        <f t="shared" si="2"/>
        <v>5700</v>
      </c>
      <c r="BE25" s="179"/>
      <c r="BF25" s="179"/>
      <c r="BG25" s="179"/>
      <c r="BH25" s="179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79"/>
    </row>
    <row r="26" spans="2:75" ht="25.8" x14ac:dyDescent="0.65">
      <c r="B26" s="104">
        <v>17</v>
      </c>
      <c r="C26" s="61"/>
      <c r="D26" s="64"/>
      <c r="E26" s="61"/>
      <c r="F26" s="61"/>
      <c r="G26" s="70"/>
      <c r="H26" s="161"/>
      <c r="I26" s="171"/>
      <c r="J26" s="175"/>
      <c r="U26" s="179">
        <v>19</v>
      </c>
      <c r="V26" s="175" t="s">
        <v>150</v>
      </c>
      <c r="W26" s="150">
        <v>1440</v>
      </c>
      <c r="X26" s="150">
        <v>180</v>
      </c>
      <c r="Y26" s="150"/>
      <c r="Z26" s="150">
        <f t="shared" si="3"/>
        <v>0</v>
      </c>
      <c r="AA26" s="179">
        <v>1</v>
      </c>
      <c r="AB26" s="179">
        <v>1</v>
      </c>
      <c r="AC26" s="179">
        <v>1</v>
      </c>
      <c r="AD26" s="179">
        <v>1</v>
      </c>
      <c r="AE26" s="179">
        <v>1</v>
      </c>
      <c r="AF26" s="179"/>
      <c r="AG26" s="179">
        <v>1</v>
      </c>
      <c r="AH26" s="179">
        <v>1</v>
      </c>
      <c r="AI26" s="179">
        <v>1</v>
      </c>
      <c r="AJ26" s="179">
        <v>1</v>
      </c>
      <c r="AK26" s="179">
        <v>1</v>
      </c>
      <c r="AL26" s="179">
        <v>1</v>
      </c>
      <c r="AM26" s="179"/>
      <c r="AN26" s="179">
        <v>1</v>
      </c>
      <c r="AO26" s="179">
        <v>1</v>
      </c>
      <c r="AP26" s="179">
        <v>1</v>
      </c>
      <c r="AQ26" s="179">
        <v>1</v>
      </c>
      <c r="AR26" s="179">
        <v>1</v>
      </c>
      <c r="AS26" s="179">
        <v>1</v>
      </c>
      <c r="AT26" s="179"/>
      <c r="AU26" s="179">
        <v>1</v>
      </c>
      <c r="AV26" s="179">
        <v>1</v>
      </c>
      <c r="AW26" s="179"/>
      <c r="AX26" s="179"/>
      <c r="AY26" s="179"/>
      <c r="AZ26" s="179"/>
      <c r="BA26" s="179"/>
      <c r="BB26" s="179"/>
      <c r="BC26" s="179">
        <f t="shared" si="1"/>
        <v>19</v>
      </c>
      <c r="BD26" s="191">
        <f t="shared" si="2"/>
        <v>3420</v>
      </c>
      <c r="BE26" s="179"/>
      <c r="BF26" s="179"/>
      <c r="BG26" s="179"/>
      <c r="BH26" s="179"/>
      <c r="BI26" s="179"/>
      <c r="BJ26" s="179"/>
      <c r="BK26" s="179"/>
      <c r="BL26" s="179"/>
      <c r="BM26" s="179"/>
      <c r="BN26" s="179"/>
      <c r="BO26" s="179"/>
      <c r="BP26" s="179"/>
      <c r="BQ26" s="179"/>
      <c r="BR26" s="179"/>
      <c r="BS26" s="179"/>
      <c r="BT26" s="179"/>
      <c r="BU26" s="179"/>
      <c r="BV26" s="179"/>
      <c r="BW26" s="179"/>
    </row>
    <row r="27" spans="2:75" ht="25.8" x14ac:dyDescent="0.65">
      <c r="B27" s="104">
        <v>18</v>
      </c>
      <c r="C27" s="61"/>
      <c r="D27" s="64"/>
      <c r="E27" s="61"/>
      <c r="F27" s="61"/>
      <c r="G27" s="70"/>
      <c r="H27" s="63"/>
      <c r="I27" s="171"/>
      <c r="J27" s="175"/>
      <c r="U27" s="179">
        <v>20</v>
      </c>
      <c r="V27" s="175" t="s">
        <v>151</v>
      </c>
      <c r="W27" s="150">
        <v>2160</v>
      </c>
      <c r="X27" s="150">
        <v>180</v>
      </c>
      <c r="Y27" s="150"/>
      <c r="Z27" s="150">
        <f t="shared" si="3"/>
        <v>1400</v>
      </c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>
        <f t="shared" si="1"/>
        <v>0</v>
      </c>
      <c r="BD27" s="191">
        <f t="shared" si="2"/>
        <v>1400</v>
      </c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</row>
    <row r="28" spans="2:75" ht="25.8" x14ac:dyDescent="0.65">
      <c r="B28" s="104">
        <v>19</v>
      </c>
      <c r="C28" s="61"/>
      <c r="D28" s="64"/>
      <c r="E28" s="61"/>
      <c r="F28" s="61"/>
      <c r="G28" s="70"/>
      <c r="H28" s="163"/>
      <c r="I28" s="171"/>
      <c r="J28" s="175"/>
      <c r="U28" s="179">
        <v>21</v>
      </c>
      <c r="V28" s="175" t="s">
        <v>152</v>
      </c>
      <c r="W28" s="150">
        <v>1980</v>
      </c>
      <c r="X28" s="150">
        <v>180</v>
      </c>
      <c r="Y28" s="150"/>
      <c r="Z28" s="150">
        <f t="shared" si="3"/>
        <v>0</v>
      </c>
      <c r="AA28" s="179"/>
      <c r="AB28" s="179"/>
      <c r="AC28" s="179"/>
      <c r="AD28" s="179"/>
      <c r="AE28" s="179"/>
      <c r="AF28" s="179"/>
      <c r="AG28" s="179">
        <v>1</v>
      </c>
      <c r="AH28" s="179">
        <v>1</v>
      </c>
      <c r="AI28" s="179">
        <v>1</v>
      </c>
      <c r="AJ28" s="179">
        <v>1</v>
      </c>
      <c r="AK28" s="179">
        <v>1</v>
      </c>
      <c r="AL28" s="179">
        <v>1</v>
      </c>
      <c r="AM28" s="179"/>
      <c r="AN28" s="179">
        <v>1</v>
      </c>
      <c r="AO28" s="179">
        <v>1</v>
      </c>
      <c r="AP28" s="179">
        <v>1</v>
      </c>
      <c r="AQ28" s="179">
        <v>1</v>
      </c>
      <c r="AR28" s="179">
        <v>1</v>
      </c>
      <c r="AS28" s="179">
        <v>1</v>
      </c>
      <c r="AT28" s="179"/>
      <c r="AU28" s="179">
        <v>1</v>
      </c>
      <c r="AV28" s="179">
        <v>1</v>
      </c>
      <c r="AW28" s="179"/>
      <c r="AX28" s="179"/>
      <c r="AY28" s="179"/>
      <c r="AZ28" s="179"/>
      <c r="BA28" s="179"/>
      <c r="BB28" s="179"/>
      <c r="BC28" s="179">
        <f t="shared" si="1"/>
        <v>14</v>
      </c>
      <c r="BD28" s="191">
        <f t="shared" si="2"/>
        <v>2520</v>
      </c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79"/>
    </row>
    <row r="29" spans="2:75" ht="25.8" x14ac:dyDescent="0.65">
      <c r="B29" s="104">
        <v>20</v>
      </c>
      <c r="C29" s="61"/>
      <c r="D29" s="64"/>
      <c r="E29" s="61"/>
      <c r="F29" s="61"/>
      <c r="G29" s="70"/>
      <c r="H29" s="163"/>
      <c r="I29" s="171"/>
      <c r="J29" s="175"/>
      <c r="U29" s="179">
        <v>22</v>
      </c>
      <c r="V29" s="175" t="s">
        <v>153</v>
      </c>
      <c r="W29" s="150">
        <v>1440</v>
      </c>
      <c r="X29" s="150">
        <v>180</v>
      </c>
      <c r="Y29" s="150"/>
      <c r="Z29" s="150">
        <f t="shared" si="3"/>
        <v>0</v>
      </c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>
        <f t="shared" si="1"/>
        <v>0</v>
      </c>
      <c r="BD29" s="191">
        <f t="shared" si="2"/>
        <v>0</v>
      </c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79"/>
    </row>
    <row r="30" spans="2:75" ht="25.8" x14ac:dyDescent="0.65">
      <c r="B30" s="104">
        <v>21</v>
      </c>
      <c r="C30" s="61"/>
      <c r="D30" s="64"/>
      <c r="E30" s="61"/>
      <c r="F30" s="61"/>
      <c r="G30" s="70"/>
      <c r="H30" s="163"/>
      <c r="I30" s="171"/>
      <c r="J30" s="175"/>
      <c r="U30" s="179">
        <v>23</v>
      </c>
      <c r="V30" s="175" t="s">
        <v>154</v>
      </c>
      <c r="W30" s="150">
        <v>2160</v>
      </c>
      <c r="X30" s="150">
        <v>180</v>
      </c>
      <c r="Y30" s="150"/>
      <c r="Z30" s="150">
        <f t="shared" si="3"/>
        <v>1400</v>
      </c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>
        <f t="shared" si="1"/>
        <v>0</v>
      </c>
      <c r="BD30" s="191">
        <f t="shared" si="2"/>
        <v>1400</v>
      </c>
      <c r="BE30" s="179"/>
      <c r="BF30" s="179"/>
      <c r="BG30" s="179"/>
      <c r="BH30" s="179"/>
      <c r="BI30" s="179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</row>
    <row r="31" spans="2:75" ht="25.8" x14ac:dyDescent="0.65">
      <c r="B31" s="104">
        <v>22</v>
      </c>
      <c r="C31" s="61"/>
      <c r="D31" s="64"/>
      <c r="E31" s="61"/>
      <c r="F31" s="61"/>
      <c r="G31" s="70"/>
      <c r="H31" s="163"/>
      <c r="I31" s="171"/>
      <c r="J31" s="175"/>
      <c r="U31" s="179">
        <v>24</v>
      </c>
      <c r="V31" s="175" t="s">
        <v>155</v>
      </c>
      <c r="W31" s="150">
        <v>1980</v>
      </c>
      <c r="X31" s="150">
        <v>180</v>
      </c>
      <c r="Y31" s="150"/>
      <c r="Z31" s="150">
        <f t="shared" si="3"/>
        <v>0</v>
      </c>
      <c r="AA31" s="179"/>
      <c r="AB31" s="179"/>
      <c r="AC31" s="179"/>
      <c r="AD31" s="179"/>
      <c r="AE31" s="179"/>
      <c r="AF31" s="179"/>
      <c r="AG31" s="179">
        <v>1</v>
      </c>
      <c r="AH31" s="179">
        <v>1</v>
      </c>
      <c r="AI31" s="179">
        <v>1</v>
      </c>
      <c r="AJ31" s="179">
        <v>1</v>
      </c>
      <c r="AK31" s="179">
        <v>1</v>
      </c>
      <c r="AL31" s="179">
        <v>1</v>
      </c>
      <c r="AM31" s="179"/>
      <c r="AN31" s="179">
        <v>1</v>
      </c>
      <c r="AO31" s="179">
        <v>1</v>
      </c>
      <c r="AP31" s="179">
        <v>1</v>
      </c>
      <c r="AQ31" s="179">
        <v>1</v>
      </c>
      <c r="AR31" s="179">
        <v>1</v>
      </c>
      <c r="AS31" s="179">
        <v>1</v>
      </c>
      <c r="AT31" s="179"/>
      <c r="AU31" s="179">
        <v>1</v>
      </c>
      <c r="AV31" s="179">
        <v>1</v>
      </c>
      <c r="AW31" s="179"/>
      <c r="AX31" s="179"/>
      <c r="AY31" s="179"/>
      <c r="AZ31" s="179"/>
      <c r="BA31" s="179"/>
      <c r="BB31" s="179"/>
      <c r="BC31" s="179">
        <f t="shared" si="1"/>
        <v>14</v>
      </c>
      <c r="BD31" s="191">
        <f t="shared" si="2"/>
        <v>2520</v>
      </c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</row>
    <row r="32" spans="2:75" ht="26.4" thickBot="1" x14ac:dyDescent="0.7">
      <c r="B32" s="104">
        <v>23</v>
      </c>
      <c r="C32" s="61"/>
      <c r="D32" s="64"/>
      <c r="E32" s="61"/>
      <c r="F32" s="61"/>
      <c r="G32" s="70"/>
      <c r="H32" s="163"/>
      <c r="I32" s="171"/>
      <c r="J32" s="175"/>
      <c r="BD32" s="192">
        <f>SUM(BD8:BD31)</f>
        <v>89976.666666666672</v>
      </c>
    </row>
    <row r="33" spans="2:10" ht="26.4" thickTop="1" x14ac:dyDescent="0.65">
      <c r="B33" s="104">
        <v>24</v>
      </c>
      <c r="C33" s="61"/>
      <c r="D33" s="64"/>
      <c r="E33" s="61"/>
      <c r="F33" s="61"/>
      <c r="G33" s="70"/>
      <c r="H33" s="163"/>
      <c r="I33" s="171"/>
      <c r="J33" s="175"/>
    </row>
    <row r="34" spans="2:10" ht="25.8" x14ac:dyDescent="0.65">
      <c r="B34" s="104">
        <v>25</v>
      </c>
      <c r="C34" s="61"/>
      <c r="D34" s="64"/>
      <c r="E34" s="61"/>
      <c r="F34" s="61"/>
      <c r="G34" s="70"/>
      <c r="H34" s="163"/>
      <c r="I34" s="171"/>
      <c r="J34" s="175"/>
    </row>
    <row r="35" spans="2:10" ht="25.8" x14ac:dyDescent="0.65">
      <c r="B35" s="104">
        <v>26</v>
      </c>
      <c r="C35" s="61"/>
      <c r="D35" s="64"/>
      <c r="E35" s="61"/>
      <c r="F35" s="61"/>
      <c r="G35" s="70"/>
      <c r="H35" s="163"/>
      <c r="I35" s="171"/>
      <c r="J35" s="175"/>
    </row>
    <row r="36" spans="2:10" ht="25.8" x14ac:dyDescent="0.65">
      <c r="B36" s="193">
        <v>27</v>
      </c>
      <c r="C36" s="61"/>
      <c r="D36" s="64"/>
      <c r="E36" s="61"/>
      <c r="F36" s="61"/>
      <c r="G36" s="70"/>
      <c r="H36" s="163"/>
      <c r="I36" s="171"/>
      <c r="J36" s="175"/>
    </row>
    <row r="37" spans="2:10" ht="25.8" x14ac:dyDescent="0.65">
      <c r="B37" s="104">
        <v>28</v>
      </c>
      <c r="C37" s="61"/>
      <c r="D37" s="64"/>
      <c r="E37" s="61"/>
      <c r="F37" s="61"/>
      <c r="G37" s="70"/>
      <c r="H37" s="163"/>
      <c r="I37" s="171"/>
      <c r="J37" s="175"/>
    </row>
    <row r="38" spans="2:10" ht="25.8" x14ac:dyDescent="0.65">
      <c r="B38" s="104">
        <v>29</v>
      </c>
      <c r="C38" s="61"/>
      <c r="D38" s="64"/>
      <c r="E38" s="61"/>
      <c r="F38" s="61"/>
      <c r="G38" s="70"/>
      <c r="H38" s="163"/>
      <c r="I38" s="171"/>
      <c r="J38" s="175"/>
    </row>
    <row r="39" spans="2:10" ht="25.8" x14ac:dyDescent="0.65">
      <c r="B39" s="104">
        <v>30</v>
      </c>
      <c r="C39" s="61"/>
      <c r="D39" s="64"/>
      <c r="E39" s="61"/>
      <c r="F39" s="61"/>
      <c r="G39" s="70"/>
      <c r="H39" s="163"/>
      <c r="I39" s="171"/>
      <c r="J39" s="175"/>
    </row>
    <row r="40" spans="2:10" ht="25.8" x14ac:dyDescent="0.65">
      <c r="B40" s="104">
        <v>31</v>
      </c>
      <c r="C40" s="47"/>
      <c r="D40" s="64"/>
      <c r="E40" s="47"/>
      <c r="F40" s="47"/>
      <c r="G40" s="49"/>
      <c r="H40" s="48"/>
      <c r="I40" s="173"/>
      <c r="J40" s="175"/>
    </row>
    <row r="41" spans="2:10" ht="25.8" x14ac:dyDescent="0.65">
      <c r="B41" s="104">
        <v>32</v>
      </c>
      <c r="C41" s="47"/>
      <c r="D41" s="64"/>
      <c r="E41" s="47"/>
      <c r="F41" s="47"/>
      <c r="G41" s="49"/>
      <c r="H41" s="48"/>
      <c r="I41" s="173"/>
      <c r="J41" s="175"/>
    </row>
    <row r="42" spans="2:10" ht="25.8" x14ac:dyDescent="0.65">
      <c r="B42" s="104">
        <v>33</v>
      </c>
      <c r="C42" s="47"/>
      <c r="D42" s="64"/>
      <c r="E42" s="47"/>
      <c r="F42" s="47"/>
      <c r="G42" s="49"/>
      <c r="H42" s="48"/>
      <c r="I42" s="173"/>
      <c r="J42" s="175"/>
    </row>
    <row r="43" spans="2:10" ht="25.8" x14ac:dyDescent="0.65">
      <c r="B43" s="104">
        <v>34</v>
      </c>
      <c r="C43" s="47"/>
      <c r="D43" s="64"/>
      <c r="E43" s="47"/>
      <c r="F43" s="47"/>
      <c r="G43" s="49"/>
      <c r="H43" s="48"/>
      <c r="I43" s="173"/>
      <c r="J43" s="175"/>
    </row>
    <row r="44" spans="2:10" ht="25.8" x14ac:dyDescent="0.65">
      <c r="B44" s="104">
        <v>35</v>
      </c>
      <c r="C44" s="47"/>
      <c r="D44" s="64"/>
      <c r="E44" s="47"/>
      <c r="F44" s="47"/>
      <c r="G44" s="49"/>
      <c r="H44" s="48"/>
      <c r="I44" s="173"/>
      <c r="J44" s="175"/>
    </row>
    <row r="45" spans="2:10" ht="25.8" x14ac:dyDescent="0.65">
      <c r="B45" s="104">
        <v>36</v>
      </c>
      <c r="C45" s="47"/>
      <c r="D45" s="64"/>
      <c r="E45" s="47"/>
      <c r="F45" s="47"/>
      <c r="G45" s="49"/>
      <c r="H45" s="48"/>
      <c r="I45" s="173"/>
      <c r="J45" s="175"/>
    </row>
    <row r="46" spans="2:10" ht="25.8" x14ac:dyDescent="0.65">
      <c r="B46" s="104">
        <v>37</v>
      </c>
      <c r="C46" s="47"/>
      <c r="D46" s="64"/>
      <c r="E46" s="47"/>
      <c r="F46" s="47"/>
      <c r="G46" s="49"/>
      <c r="H46" s="48"/>
      <c r="I46" s="173"/>
      <c r="J46" s="175"/>
    </row>
    <row r="47" spans="2:10" ht="18" x14ac:dyDescent="0.45">
      <c r="B47" s="7"/>
      <c r="C47" s="12"/>
      <c r="D47" s="9"/>
      <c r="E47" s="9"/>
      <c r="F47" s="32" t="s">
        <v>18</v>
      </c>
      <c r="G47" s="33">
        <f>SUM(G9:G46)</f>
        <v>98371.8</v>
      </c>
      <c r="H47" s="12"/>
      <c r="I47" s="7"/>
    </row>
    <row r="48" spans="2:10" ht="18" x14ac:dyDescent="0.45">
      <c r="B48" s="7"/>
      <c r="C48" s="12"/>
      <c r="D48" s="9"/>
      <c r="E48" s="9"/>
      <c r="F48" s="34" t="s">
        <v>19</v>
      </c>
      <c r="G48" s="35">
        <f>$C$6-G47</f>
        <v>-71.80000000000291</v>
      </c>
      <c r="H48" s="12"/>
      <c r="I48" s="7"/>
    </row>
    <row r="49" spans="2:13" ht="18" x14ac:dyDescent="0.45">
      <c r="B49" s="7"/>
      <c r="C49" s="12"/>
      <c r="D49" s="9"/>
      <c r="E49" s="9"/>
      <c r="F49" s="12"/>
      <c r="G49" s="12"/>
      <c r="H49" s="12"/>
      <c r="I49" s="7"/>
    </row>
    <row r="50" spans="2:13" ht="18" x14ac:dyDescent="0.45">
      <c r="B50" s="7"/>
      <c r="C50" s="12"/>
      <c r="D50" s="9"/>
      <c r="E50" s="9"/>
      <c r="F50" s="36" t="s">
        <v>20</v>
      </c>
      <c r="G50" s="37">
        <f>G48/C6</f>
        <v>-7.3041709053919541E-4</v>
      </c>
      <c r="H50" s="38"/>
      <c r="I50" s="7"/>
    </row>
    <row r="51" spans="2:13" ht="26.4" x14ac:dyDescent="0.55000000000000004">
      <c r="B51" s="4"/>
      <c r="C51" s="11"/>
      <c r="D51" s="9"/>
      <c r="E51" s="10"/>
      <c r="F51" s="10"/>
      <c r="G51" s="3"/>
      <c r="H51" s="7"/>
      <c r="I51" s="7"/>
    </row>
    <row r="52" spans="2:13" ht="26.4" x14ac:dyDescent="0.55000000000000004">
      <c r="B52" s="143" t="s">
        <v>79</v>
      </c>
      <c r="C52" s="164" t="str">
        <f>'All Job balance report'!B12</f>
        <v>JEP-2601/001</v>
      </c>
      <c r="D52" s="12"/>
      <c r="E52" s="13"/>
      <c r="F52" s="10"/>
      <c r="G52" s="3"/>
      <c r="H52" s="7"/>
      <c r="I52" s="7"/>
    </row>
    <row r="53" spans="2:13" ht="22.2" x14ac:dyDescent="0.55000000000000004">
      <c r="B53" s="82" t="s">
        <v>7</v>
      </c>
      <c r="C53" s="85">
        <f>'All Job balance report'!G12</f>
        <v>12000</v>
      </c>
      <c r="D53" s="15"/>
      <c r="E53" s="17"/>
      <c r="F53" s="18"/>
      <c r="G53" s="18"/>
      <c r="H53" s="18"/>
      <c r="I53" s="18"/>
    </row>
    <row r="54" spans="2:13" x14ac:dyDescent="0.25">
      <c r="B54" s="557" t="s">
        <v>23</v>
      </c>
      <c r="C54" s="557" t="s">
        <v>28</v>
      </c>
      <c r="D54" s="559"/>
      <c r="E54" s="555" t="s">
        <v>13</v>
      </c>
      <c r="F54" s="555" t="s">
        <v>54</v>
      </c>
      <c r="G54" s="555" t="s">
        <v>55</v>
      </c>
      <c r="H54" s="555" t="s">
        <v>56</v>
      </c>
      <c r="I54" s="555" t="s">
        <v>57</v>
      </c>
    </row>
    <row r="55" spans="2:13" x14ac:dyDescent="0.25">
      <c r="B55" s="558"/>
      <c r="C55" s="558"/>
      <c r="D55" s="560"/>
      <c r="E55" s="555"/>
      <c r="F55" s="555"/>
      <c r="G55" s="555"/>
      <c r="H55" s="555"/>
      <c r="I55" s="555"/>
    </row>
    <row r="56" spans="2:13" ht="20.399999999999999" x14ac:dyDescent="0.3">
      <c r="B56" s="73">
        <v>1</v>
      </c>
      <c r="C56" s="77">
        <v>10</v>
      </c>
      <c r="D56" s="77"/>
      <c r="E56" s="83" t="s">
        <v>25</v>
      </c>
      <c r="F56" s="86">
        <v>60000</v>
      </c>
      <c r="G56" s="94">
        <f>SUMIF($D$10:$D$46,$C$56,$G$10:$G$46)</f>
        <v>59064.800000000003</v>
      </c>
      <c r="H56" s="96">
        <f>F56-G56</f>
        <v>935.19999999999709</v>
      </c>
      <c r="I56" s="84"/>
      <c r="L56" s="149">
        <v>3142401</v>
      </c>
      <c r="M56" s="149">
        <v>2644700</v>
      </c>
    </row>
    <row r="57" spans="2:13" ht="20.399999999999999" x14ac:dyDescent="0.35">
      <c r="B57" s="74">
        <v>2</v>
      </c>
      <c r="C57" s="80">
        <v>20</v>
      </c>
      <c r="D57" s="80"/>
      <c r="E57" s="83" t="s">
        <v>26</v>
      </c>
      <c r="F57" s="87">
        <v>32300</v>
      </c>
      <c r="G57" s="94">
        <f>SUMIF($D$10:$D$46,$C$57,$G$10:$G$46)</f>
        <v>32000</v>
      </c>
      <c r="H57" s="96">
        <f t="shared" ref="H57:H63" si="4">F57-G57</f>
        <v>300</v>
      </c>
      <c r="I57" s="84"/>
      <c r="L57" s="151">
        <f>L56-SUM(F58:F63)</f>
        <v>3136401</v>
      </c>
    </row>
    <row r="58" spans="2:13" ht="20.399999999999999" x14ac:dyDescent="0.35">
      <c r="B58" s="75">
        <v>3</v>
      </c>
      <c r="C58" s="80">
        <v>30</v>
      </c>
      <c r="D58" s="80"/>
      <c r="E58" s="83" t="s">
        <v>48</v>
      </c>
      <c r="F58" s="87">
        <v>0</v>
      </c>
      <c r="G58" s="94">
        <f>SUMIF($D$10:$D$46,$C$58,$G$10:$G$46)</f>
        <v>0</v>
      </c>
      <c r="H58" s="96">
        <f t="shared" si="4"/>
        <v>0</v>
      </c>
      <c r="I58" s="81"/>
    </row>
    <row r="59" spans="2:13" ht="20.399999999999999" x14ac:dyDescent="0.35">
      <c r="B59" s="75">
        <v>4</v>
      </c>
      <c r="C59" s="80">
        <v>40</v>
      </c>
      <c r="D59" s="80"/>
      <c r="E59" s="83" t="s">
        <v>49</v>
      </c>
      <c r="F59" s="87">
        <v>0</v>
      </c>
      <c r="G59" s="94">
        <f>SUMIF($D$10:$D$46,$C$59,$G$10:$G$46)</f>
        <v>0</v>
      </c>
      <c r="H59" s="96">
        <f t="shared" si="4"/>
        <v>0</v>
      </c>
      <c r="I59" s="81"/>
    </row>
    <row r="60" spans="2:13" ht="20.399999999999999" x14ac:dyDescent="0.35">
      <c r="B60" s="75">
        <v>5</v>
      </c>
      <c r="C60" s="80">
        <v>50</v>
      </c>
      <c r="D60" s="80"/>
      <c r="E60" s="83" t="s">
        <v>47</v>
      </c>
      <c r="F60" s="87">
        <v>6000</v>
      </c>
      <c r="G60" s="94">
        <f>SUMIF($D$10:$D$46,$C$60,$G$10:$G$46)</f>
        <v>7307</v>
      </c>
      <c r="H60" s="96">
        <f t="shared" si="4"/>
        <v>-1307</v>
      </c>
      <c r="I60" s="81"/>
    </row>
    <row r="61" spans="2:13" ht="20.399999999999999" x14ac:dyDescent="0.35">
      <c r="B61" s="76">
        <v>6</v>
      </c>
      <c r="C61" s="80">
        <v>60</v>
      </c>
      <c r="D61" s="80"/>
      <c r="E61" s="83" t="s">
        <v>51</v>
      </c>
      <c r="F61" s="87">
        <v>0</v>
      </c>
      <c r="G61" s="94">
        <f>SUMIF($D$10:$D$46,$C$61,$G$10:$G$46)</f>
        <v>0</v>
      </c>
      <c r="H61" s="96">
        <f t="shared" si="4"/>
        <v>0</v>
      </c>
      <c r="I61" s="81"/>
    </row>
    <row r="62" spans="2:13" ht="20.399999999999999" x14ac:dyDescent="0.35">
      <c r="B62" s="76">
        <v>7</v>
      </c>
      <c r="C62" s="80">
        <v>70</v>
      </c>
      <c r="D62" s="80"/>
      <c r="E62" s="83" t="s">
        <v>52</v>
      </c>
      <c r="F62" s="87">
        <v>0</v>
      </c>
      <c r="G62" s="94">
        <f>SUMIF($D$10:$D$46,$C$62,$G$10:$G$46)</f>
        <v>0</v>
      </c>
      <c r="H62" s="96">
        <f t="shared" si="4"/>
        <v>0</v>
      </c>
      <c r="I62" s="81"/>
    </row>
    <row r="63" spans="2:13" ht="20.399999999999999" x14ac:dyDescent="0.35">
      <c r="B63" s="76">
        <v>8</v>
      </c>
      <c r="C63" s="80">
        <v>80</v>
      </c>
      <c r="D63" s="80"/>
      <c r="E63" s="83" t="s">
        <v>53</v>
      </c>
      <c r="F63" s="87">
        <v>0</v>
      </c>
      <c r="G63" s="94">
        <f>SUMIF($D$10:$D$46,$C$63,$G$10:$G$46)</f>
        <v>0</v>
      </c>
      <c r="H63" s="96">
        <f t="shared" si="4"/>
        <v>0</v>
      </c>
      <c r="I63" s="81"/>
    </row>
    <row r="64" spans="2:13" ht="20.399999999999999" x14ac:dyDescent="0.35">
      <c r="B64" s="89"/>
      <c r="C64" s="90"/>
      <c r="D64" s="90"/>
      <c r="E64" s="91" t="s">
        <v>59</v>
      </c>
      <c r="F64" s="92">
        <f>SUM(F56:F63)</f>
        <v>98300</v>
      </c>
      <c r="G64" s="92">
        <f>SUM(G56:G63)</f>
        <v>98371.8</v>
      </c>
      <c r="H64" s="97">
        <f>SUM(H56:H63)</f>
        <v>-71.80000000000291</v>
      </c>
      <c r="I64" s="93"/>
    </row>
    <row r="65" spans="2:9" ht="20.399999999999999" x14ac:dyDescent="0.35">
      <c r="B65" s="89"/>
      <c r="C65" s="90"/>
      <c r="D65" s="90"/>
      <c r="E65" s="91" t="s">
        <v>60</v>
      </c>
      <c r="F65" s="88">
        <f>((C53-F64)/C53)</f>
        <v>-7.1916666666666664</v>
      </c>
      <c r="G65" s="88"/>
      <c r="H65" s="93"/>
      <c r="I65" s="93"/>
    </row>
    <row r="66" spans="2:9" ht="20.399999999999999" x14ac:dyDescent="0.35">
      <c r="B66" s="89"/>
      <c r="C66" s="90"/>
      <c r="D66" s="90"/>
      <c r="E66" s="91" t="s">
        <v>58</v>
      </c>
      <c r="F66" s="92">
        <f>F65*C53</f>
        <v>-86300</v>
      </c>
      <c r="G66" s="92"/>
      <c r="H66" s="93"/>
      <c r="I66" s="93"/>
    </row>
    <row r="67" spans="2:9" ht="22.2" x14ac:dyDescent="0.35">
      <c r="B67" s="41"/>
      <c r="C67" s="40"/>
      <c r="D67" s="40"/>
      <c r="E67" s="91" t="s">
        <v>68</v>
      </c>
      <c r="F67" s="194">
        <f>C53-G64</f>
        <v>-86371.8</v>
      </c>
      <c r="G67" s="388">
        <f>F67/C53</f>
        <v>-7.1976500000000003</v>
      </c>
      <c r="H67" s="81"/>
      <c r="I67" s="81"/>
    </row>
    <row r="68" spans="2:9" ht="15" x14ac:dyDescent="0.25">
      <c r="B68" s="41"/>
      <c r="C68" s="40"/>
      <c r="D68" s="40"/>
      <c r="E68" s="40"/>
      <c r="F68" s="40"/>
      <c r="G68" s="42"/>
      <c r="H68" s="43"/>
      <c r="I68" s="43"/>
    </row>
    <row r="69" spans="2:9" ht="15" x14ac:dyDescent="0.25">
      <c r="B69" s="41"/>
      <c r="C69" s="40"/>
      <c r="D69" s="40"/>
      <c r="E69" s="40"/>
      <c r="F69" s="390">
        <v>0.05</v>
      </c>
      <c r="G69" s="42"/>
      <c r="H69" s="43"/>
      <c r="I69" s="43"/>
    </row>
    <row r="70" spans="2:9" ht="15" x14ac:dyDescent="0.25">
      <c r="B70" s="41"/>
      <c r="C70" s="40"/>
      <c r="D70" s="40"/>
      <c r="E70" s="40"/>
      <c r="F70" s="389">
        <f>F67*F69</f>
        <v>-4318.59</v>
      </c>
      <c r="G70" s="42"/>
      <c r="H70" s="43"/>
      <c r="I70" s="43"/>
    </row>
    <row r="71" spans="2:9" ht="15" x14ac:dyDescent="0.25">
      <c r="B71" s="41"/>
      <c r="C71" s="40"/>
      <c r="D71" s="40"/>
      <c r="E71" s="40"/>
      <c r="F71" s="40"/>
      <c r="G71" s="42"/>
      <c r="H71" s="43"/>
      <c r="I71" s="43"/>
    </row>
    <row r="72" spans="2:9" ht="18" x14ac:dyDescent="0.45">
      <c r="B72" s="7"/>
      <c r="C72" s="12"/>
      <c r="D72" s="9"/>
      <c r="E72" s="9"/>
      <c r="F72" s="39"/>
      <c r="G72" s="44"/>
      <c r="H72" s="12"/>
      <c r="I72" s="7"/>
    </row>
    <row r="73" spans="2:9" ht="18" x14ac:dyDescent="0.45">
      <c r="B73" s="7"/>
      <c r="C73" s="12"/>
      <c r="D73" s="9"/>
      <c r="E73" s="9"/>
      <c r="F73" s="45"/>
      <c r="G73" s="46"/>
      <c r="H73" s="12"/>
      <c r="I73" s="7"/>
    </row>
    <row r="74" spans="2:9" ht="18" x14ac:dyDescent="0.45">
      <c r="B74" s="7"/>
      <c r="C74" s="12"/>
      <c r="D74" s="9"/>
      <c r="E74" s="9"/>
      <c r="F74" s="12"/>
      <c r="G74" s="12"/>
      <c r="H74" s="12"/>
      <c r="I74" s="7"/>
    </row>
  </sheetData>
  <mergeCells count="55">
    <mergeCell ref="AK4:AK6"/>
    <mergeCell ref="E4:F5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W4:AW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BK4:BK6"/>
    <mergeCell ref="AX4:AX6"/>
    <mergeCell ref="AY4:AY6"/>
    <mergeCell ref="AZ4:AZ6"/>
    <mergeCell ref="BA4:BA6"/>
    <mergeCell ref="BB4:BB6"/>
    <mergeCell ref="BE4:BE6"/>
    <mergeCell ref="BF4:BF6"/>
    <mergeCell ref="BG4:BG6"/>
    <mergeCell ref="BH4:BH6"/>
    <mergeCell ref="BI4:BI6"/>
    <mergeCell ref="BJ4:BJ6"/>
    <mergeCell ref="BW4:BW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I54:I55"/>
    <mergeCell ref="B54:B55"/>
    <mergeCell ref="C54:D55"/>
    <mergeCell ref="E54:E55"/>
    <mergeCell ref="F54:F55"/>
    <mergeCell ref="G54:G55"/>
    <mergeCell ref="H54:H55"/>
  </mergeCells>
  <conditionalFormatting sqref="H56:H64">
    <cfRule type="cellIs" dxfId="64" priority="1" operator="lessThan">
      <formula>0</formula>
    </cfRule>
    <cfRule type="cellIs" dxfId="63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D07BD-1E6B-4218-8658-583427E81BA6}">
  <sheetPr>
    <tabColor theme="2" tint="-0.749992370372631"/>
  </sheetPr>
  <dimension ref="B1:BW74"/>
  <sheetViews>
    <sheetView zoomScale="60" zoomScaleNormal="60" workbookViewId="0">
      <selection activeCell="H41" sqref="H41"/>
    </sheetView>
  </sheetViews>
  <sheetFormatPr defaultRowHeight="13.8" x14ac:dyDescent="0.25"/>
  <cols>
    <col min="2" max="2" width="21.59765625" style="1" customWidth="1"/>
    <col min="3" max="3" width="46" style="1" customWidth="1"/>
    <col min="4" max="4" width="17.5" style="1" customWidth="1"/>
    <col min="5" max="5" width="44" style="1" customWidth="1"/>
    <col min="6" max="6" width="43.59765625" style="1" customWidth="1"/>
    <col min="7" max="7" width="26" style="1" customWidth="1"/>
    <col min="8" max="9" width="22.19921875" style="1" customWidth="1"/>
    <col min="10" max="10" width="16.796875" customWidth="1"/>
    <col min="12" max="12" width="13" bestFit="1" customWidth="1"/>
    <col min="13" max="13" width="12.8984375" bestFit="1" customWidth="1"/>
    <col min="21" max="21" width="6.5" style="177" customWidth="1"/>
    <col min="22" max="26" width="14.09765625" customWidth="1"/>
    <col min="27" max="27" width="6.09765625" style="177" customWidth="1"/>
    <col min="28" max="54" width="4.796875" style="177" customWidth="1"/>
    <col min="55" max="55" width="8.8984375" style="177" customWidth="1"/>
    <col min="56" max="56" width="12.09765625" style="177" customWidth="1"/>
    <col min="57" max="75" width="4.796875" style="177" customWidth="1"/>
  </cols>
  <sheetData>
    <row r="1" spans="2:75" ht="22.2" x14ac:dyDescent="0.35">
      <c r="B1" s="14" t="s">
        <v>0</v>
      </c>
      <c r="C1" s="2" t="s">
        <v>158</v>
      </c>
      <c r="D1" s="2"/>
      <c r="E1" s="2"/>
      <c r="F1" s="3"/>
      <c r="G1" s="3"/>
      <c r="H1" s="146" t="s">
        <v>1</v>
      </c>
      <c r="I1" s="147">
        <v>45833</v>
      </c>
    </row>
    <row r="2" spans="2:75" ht="22.2" x14ac:dyDescent="0.55000000000000004">
      <c r="B2" s="4" t="s">
        <v>2</v>
      </c>
      <c r="C2" s="5" t="s">
        <v>161</v>
      </c>
      <c r="D2" s="5"/>
      <c r="E2" s="5"/>
      <c r="F2" s="3"/>
      <c r="G2" s="3"/>
      <c r="H2" s="146" t="s">
        <v>3</v>
      </c>
      <c r="I2" s="148"/>
    </row>
    <row r="3" spans="2:75" ht="22.2" x14ac:dyDescent="0.55000000000000004">
      <c r="B3" s="4" t="s">
        <v>74</v>
      </c>
      <c r="C3" s="145" t="str">
        <f>C52</f>
        <v>PKE-2500/002</v>
      </c>
      <c r="D3" s="6"/>
      <c r="E3" s="6"/>
      <c r="F3" s="7"/>
      <c r="G3" s="7"/>
      <c r="H3" s="7"/>
      <c r="I3" s="7"/>
    </row>
    <row r="4" spans="2:75" ht="22.2" customHeight="1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AA4" s="568">
        <v>45811</v>
      </c>
      <c r="AB4" s="568">
        <v>45812</v>
      </c>
      <c r="AC4" s="568">
        <v>45813</v>
      </c>
      <c r="AD4" s="568">
        <v>45814</v>
      </c>
      <c r="AE4" s="568">
        <v>45815</v>
      </c>
      <c r="AF4" s="571">
        <v>45816</v>
      </c>
      <c r="AG4" s="568">
        <v>45817</v>
      </c>
      <c r="AH4" s="568">
        <v>45818</v>
      </c>
      <c r="AI4" s="568">
        <v>45819</v>
      </c>
      <c r="AJ4" s="568">
        <v>45820</v>
      </c>
      <c r="AK4" s="568">
        <v>45821</v>
      </c>
      <c r="AL4" s="568">
        <v>45822</v>
      </c>
      <c r="AM4" s="571">
        <v>45823</v>
      </c>
      <c r="AN4" s="568">
        <v>45824</v>
      </c>
      <c r="AO4" s="568">
        <v>45825</v>
      </c>
      <c r="AP4" s="568">
        <v>45826</v>
      </c>
      <c r="AQ4" s="568">
        <v>45827</v>
      </c>
      <c r="AR4" s="568">
        <v>45828</v>
      </c>
      <c r="AS4" s="568">
        <v>45829</v>
      </c>
      <c r="AT4" s="571">
        <v>45830</v>
      </c>
      <c r="AU4" s="568">
        <v>45831</v>
      </c>
      <c r="AV4" s="568">
        <v>45832</v>
      </c>
      <c r="AW4" s="568">
        <v>45833</v>
      </c>
      <c r="AX4" s="568">
        <v>45834</v>
      </c>
      <c r="AY4" s="568">
        <v>45835</v>
      </c>
      <c r="AZ4" s="568">
        <v>45836</v>
      </c>
      <c r="BA4" s="571">
        <v>45837</v>
      </c>
      <c r="BB4" s="568">
        <v>45838</v>
      </c>
      <c r="BC4" s="182"/>
      <c r="BD4" s="182"/>
      <c r="BE4" s="568">
        <v>45839</v>
      </c>
      <c r="BF4" s="568">
        <v>45840</v>
      </c>
      <c r="BG4" s="568">
        <v>45841</v>
      </c>
      <c r="BH4" s="568">
        <v>45842</v>
      </c>
      <c r="BI4" s="568">
        <v>45843</v>
      </c>
      <c r="BJ4" s="571">
        <v>45844</v>
      </c>
      <c r="BK4" s="568">
        <v>45845</v>
      </c>
      <c r="BL4" s="568">
        <v>45846</v>
      </c>
      <c r="BM4" s="568">
        <v>45847</v>
      </c>
      <c r="BN4" s="568">
        <v>45848</v>
      </c>
      <c r="BO4" s="568">
        <v>45849</v>
      </c>
      <c r="BP4" s="568">
        <v>45850</v>
      </c>
      <c r="BQ4" s="571">
        <v>45851</v>
      </c>
      <c r="BR4" s="568">
        <v>45852</v>
      </c>
      <c r="BS4" s="568">
        <v>45853</v>
      </c>
      <c r="BT4" s="568">
        <v>45854</v>
      </c>
      <c r="BU4" s="568">
        <v>45855</v>
      </c>
      <c r="BV4" s="568">
        <v>45856</v>
      </c>
      <c r="BW4" s="568">
        <v>45857</v>
      </c>
    </row>
    <row r="5" spans="2:75" ht="22.2" x14ac:dyDescent="0.55000000000000004">
      <c r="B5" s="4" t="s">
        <v>7</v>
      </c>
      <c r="C5" s="11">
        <f>C53</f>
        <v>7000</v>
      </c>
      <c r="D5" s="9"/>
      <c r="E5" s="556"/>
      <c r="F5" s="556"/>
      <c r="G5" s="3"/>
      <c r="H5" s="7"/>
      <c r="I5" s="7"/>
      <c r="AA5" s="569"/>
      <c r="AB5" s="569"/>
      <c r="AC5" s="569"/>
      <c r="AD5" s="569"/>
      <c r="AE5" s="569"/>
      <c r="AF5" s="572"/>
      <c r="AG5" s="569"/>
      <c r="AH5" s="569"/>
      <c r="AI5" s="569"/>
      <c r="AJ5" s="569"/>
      <c r="AK5" s="569"/>
      <c r="AL5" s="569"/>
      <c r="AM5" s="572"/>
      <c r="AN5" s="569"/>
      <c r="AO5" s="569"/>
      <c r="AP5" s="569"/>
      <c r="AQ5" s="569"/>
      <c r="AR5" s="569"/>
      <c r="AS5" s="569"/>
      <c r="AT5" s="572"/>
      <c r="AU5" s="569"/>
      <c r="AV5" s="569"/>
      <c r="AW5" s="569"/>
      <c r="AX5" s="569"/>
      <c r="AY5" s="569"/>
      <c r="AZ5" s="569"/>
      <c r="BA5" s="572"/>
      <c r="BB5" s="569"/>
      <c r="BC5" s="183"/>
      <c r="BD5" s="183"/>
      <c r="BE5" s="569"/>
      <c r="BF5" s="569"/>
      <c r="BG5" s="569"/>
      <c r="BH5" s="569"/>
      <c r="BI5" s="569"/>
      <c r="BJ5" s="572"/>
      <c r="BK5" s="569"/>
      <c r="BL5" s="569"/>
      <c r="BM5" s="569"/>
      <c r="BN5" s="569"/>
      <c r="BO5" s="569"/>
      <c r="BP5" s="569"/>
      <c r="BQ5" s="572"/>
      <c r="BR5" s="569"/>
      <c r="BS5" s="569"/>
      <c r="BT5" s="569"/>
      <c r="BU5" s="569"/>
      <c r="BV5" s="569"/>
      <c r="BW5" s="569"/>
    </row>
    <row r="6" spans="2:75" ht="26.4" x14ac:dyDescent="0.55000000000000004">
      <c r="B6" s="4" t="s">
        <v>8</v>
      </c>
      <c r="C6" s="11">
        <f>F64</f>
        <v>5867101</v>
      </c>
      <c r="D6" s="12"/>
      <c r="E6" s="13"/>
      <c r="F6" s="10"/>
      <c r="G6" s="3"/>
      <c r="H6" s="7"/>
      <c r="I6" s="7"/>
      <c r="Z6">
        <v>100</v>
      </c>
      <c r="AA6" s="570"/>
      <c r="AB6" s="570"/>
      <c r="AC6" s="570"/>
      <c r="AD6" s="570"/>
      <c r="AE6" s="570"/>
      <c r="AF6" s="573"/>
      <c r="AG6" s="570"/>
      <c r="AH6" s="570"/>
      <c r="AI6" s="570"/>
      <c r="AJ6" s="570"/>
      <c r="AK6" s="570"/>
      <c r="AL6" s="570"/>
      <c r="AM6" s="573"/>
      <c r="AN6" s="570"/>
      <c r="AO6" s="570"/>
      <c r="AP6" s="570"/>
      <c r="AQ6" s="570"/>
      <c r="AR6" s="570"/>
      <c r="AS6" s="570"/>
      <c r="AT6" s="573"/>
      <c r="AU6" s="570"/>
      <c r="AV6" s="570"/>
      <c r="AW6" s="570"/>
      <c r="AX6" s="570"/>
      <c r="AY6" s="570"/>
      <c r="AZ6" s="570"/>
      <c r="BA6" s="573"/>
      <c r="BB6" s="570"/>
      <c r="BC6" s="184"/>
      <c r="BD6" s="184"/>
      <c r="BE6" s="570"/>
      <c r="BF6" s="570"/>
      <c r="BG6" s="570"/>
      <c r="BH6" s="570"/>
      <c r="BI6" s="570"/>
      <c r="BJ6" s="573"/>
      <c r="BK6" s="570"/>
      <c r="BL6" s="570"/>
      <c r="BM6" s="570"/>
      <c r="BN6" s="570"/>
      <c r="BO6" s="570"/>
      <c r="BP6" s="570"/>
      <c r="BQ6" s="573"/>
      <c r="BR6" s="570"/>
      <c r="BS6" s="570"/>
      <c r="BT6" s="570"/>
      <c r="BU6" s="570"/>
      <c r="BV6" s="570"/>
      <c r="BW6" s="570"/>
    </row>
    <row r="7" spans="2:75" ht="22.2" x14ac:dyDescent="0.55000000000000004">
      <c r="B7" s="15" t="s">
        <v>9</v>
      </c>
      <c r="C7" s="16">
        <f>(C5-C6)/C5</f>
        <v>-837.15728571428576</v>
      </c>
      <c r="D7" s="15" t="s">
        <v>10</v>
      </c>
      <c r="E7" s="17">
        <v>1</v>
      </c>
      <c r="F7" s="18"/>
      <c r="G7" s="18"/>
      <c r="H7" s="18"/>
      <c r="I7" s="18"/>
      <c r="U7" s="178" t="s">
        <v>63</v>
      </c>
      <c r="V7" s="178" t="s">
        <v>129</v>
      </c>
      <c r="W7" s="178" t="s">
        <v>130</v>
      </c>
      <c r="X7" s="181" t="s">
        <v>131</v>
      </c>
      <c r="Y7" s="178" t="s">
        <v>156</v>
      </c>
      <c r="Z7" s="178" t="s">
        <v>157</v>
      </c>
      <c r="AA7" s="188">
        <f>SUM(AA8:AA31)</f>
        <v>4</v>
      </c>
      <c r="AB7" s="188">
        <f t="shared" ref="AB7:BW7" si="0">SUM(AB8:AB31)</f>
        <v>3</v>
      </c>
      <c r="AC7" s="188">
        <f t="shared" si="0"/>
        <v>3</v>
      </c>
      <c r="AD7" s="188">
        <f t="shared" si="0"/>
        <v>3</v>
      </c>
      <c r="AE7" s="188">
        <f t="shared" si="0"/>
        <v>3</v>
      </c>
      <c r="AF7" s="188">
        <f t="shared" si="0"/>
        <v>0</v>
      </c>
      <c r="AG7" s="188">
        <f t="shared" si="0"/>
        <v>11</v>
      </c>
      <c r="AH7" s="188">
        <f t="shared" si="0"/>
        <v>11</v>
      </c>
      <c r="AI7" s="188">
        <f t="shared" si="0"/>
        <v>11</v>
      </c>
      <c r="AJ7" s="188">
        <f t="shared" si="0"/>
        <v>11</v>
      </c>
      <c r="AK7" s="188">
        <f t="shared" si="0"/>
        <v>11</v>
      </c>
      <c r="AL7" s="188">
        <f t="shared" si="0"/>
        <v>11</v>
      </c>
      <c r="AM7" s="188">
        <f t="shared" si="0"/>
        <v>0</v>
      </c>
      <c r="AN7" s="188">
        <f t="shared" si="0"/>
        <v>11</v>
      </c>
      <c r="AO7" s="188">
        <f t="shared" si="0"/>
        <v>11</v>
      </c>
      <c r="AP7" s="188">
        <f t="shared" si="0"/>
        <v>11</v>
      </c>
      <c r="AQ7" s="188">
        <f t="shared" si="0"/>
        <v>11</v>
      </c>
      <c r="AR7" s="188">
        <f t="shared" si="0"/>
        <v>11</v>
      </c>
      <c r="AS7" s="188">
        <f t="shared" si="0"/>
        <v>11</v>
      </c>
      <c r="AT7" s="188">
        <f t="shared" si="0"/>
        <v>0</v>
      </c>
      <c r="AU7" s="188">
        <f t="shared" si="0"/>
        <v>11</v>
      </c>
      <c r="AV7" s="188">
        <f t="shared" si="0"/>
        <v>11</v>
      </c>
      <c r="AW7" s="188">
        <f t="shared" si="0"/>
        <v>0</v>
      </c>
      <c r="AX7" s="188">
        <f t="shared" si="0"/>
        <v>0</v>
      </c>
      <c r="AY7" s="188">
        <f t="shared" si="0"/>
        <v>0</v>
      </c>
      <c r="AZ7" s="188">
        <f t="shared" si="0"/>
        <v>0</v>
      </c>
      <c r="BA7" s="188">
        <f t="shared" si="0"/>
        <v>0</v>
      </c>
      <c r="BB7" s="188">
        <f t="shared" si="0"/>
        <v>0</v>
      </c>
      <c r="BC7" s="188"/>
      <c r="BD7" s="188"/>
      <c r="BE7" s="188">
        <f t="shared" si="0"/>
        <v>0</v>
      </c>
      <c r="BF7" s="188">
        <f t="shared" si="0"/>
        <v>0</v>
      </c>
      <c r="BG7" s="188">
        <f t="shared" si="0"/>
        <v>0</v>
      </c>
      <c r="BH7" s="188">
        <f t="shared" si="0"/>
        <v>0</v>
      </c>
      <c r="BI7" s="188">
        <f t="shared" si="0"/>
        <v>0</v>
      </c>
      <c r="BJ7" s="188">
        <f t="shared" si="0"/>
        <v>0</v>
      </c>
      <c r="BK7" s="188">
        <f t="shared" si="0"/>
        <v>0</v>
      </c>
      <c r="BL7" s="188">
        <f t="shared" si="0"/>
        <v>0</v>
      </c>
      <c r="BM7" s="188">
        <f t="shared" si="0"/>
        <v>0</v>
      </c>
      <c r="BN7" s="188">
        <f t="shared" si="0"/>
        <v>0</v>
      </c>
      <c r="BO7" s="188">
        <f t="shared" si="0"/>
        <v>0</v>
      </c>
      <c r="BP7" s="188">
        <f t="shared" si="0"/>
        <v>0</v>
      </c>
      <c r="BQ7" s="188">
        <f t="shared" si="0"/>
        <v>0</v>
      </c>
      <c r="BR7" s="188">
        <f t="shared" si="0"/>
        <v>0</v>
      </c>
      <c r="BS7" s="188">
        <f t="shared" si="0"/>
        <v>0</v>
      </c>
      <c r="BT7" s="188">
        <f t="shared" si="0"/>
        <v>0</v>
      </c>
      <c r="BU7" s="188">
        <f t="shared" si="0"/>
        <v>0</v>
      </c>
      <c r="BV7" s="188">
        <f t="shared" si="0"/>
        <v>0</v>
      </c>
      <c r="BW7" s="188">
        <f t="shared" si="0"/>
        <v>0</v>
      </c>
    </row>
    <row r="8" spans="2:75" ht="30" customHeight="1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65" t="s">
        <v>16</v>
      </c>
      <c r="J8" s="174" t="s">
        <v>126</v>
      </c>
      <c r="U8" s="179">
        <v>1</v>
      </c>
      <c r="V8" s="180" t="s">
        <v>132</v>
      </c>
      <c r="W8" s="150">
        <v>31500</v>
      </c>
      <c r="X8" s="150">
        <v>1050</v>
      </c>
      <c r="Y8" s="150">
        <v>1400</v>
      </c>
      <c r="Z8" s="150"/>
      <c r="AA8" s="179"/>
      <c r="AB8" s="179"/>
      <c r="AC8" s="179"/>
      <c r="AD8" s="179"/>
      <c r="AE8" s="179"/>
      <c r="AF8" s="179"/>
      <c r="AG8" s="179">
        <v>1</v>
      </c>
      <c r="AH8" s="179">
        <v>1</v>
      </c>
      <c r="AI8" s="179">
        <v>1</v>
      </c>
      <c r="AJ8" s="179">
        <v>1</v>
      </c>
      <c r="AK8" s="179">
        <v>1</v>
      </c>
      <c r="AL8" s="179">
        <v>1</v>
      </c>
      <c r="AM8" s="179"/>
      <c r="AN8" s="179">
        <v>1</v>
      </c>
      <c r="AO8" s="179">
        <v>1</v>
      </c>
      <c r="AP8" s="179">
        <v>1</v>
      </c>
      <c r="AQ8" s="179">
        <v>1</v>
      </c>
      <c r="AR8" s="179">
        <v>1</v>
      </c>
      <c r="AS8" s="179">
        <v>1</v>
      </c>
      <c r="AT8" s="179"/>
      <c r="AU8" s="179">
        <v>1</v>
      </c>
      <c r="AV8" s="179">
        <v>1</v>
      </c>
      <c r="AW8" s="179"/>
      <c r="AX8" s="179"/>
      <c r="AY8" s="179"/>
      <c r="AZ8" s="179"/>
      <c r="BA8" s="179"/>
      <c r="BB8" s="179"/>
      <c r="BC8" s="179">
        <f>SUM(AA8:BB8)</f>
        <v>14</v>
      </c>
      <c r="BD8" s="191">
        <f>(BC8*X8)+Y8+Z8</f>
        <v>16100</v>
      </c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Q8" s="179"/>
      <c r="BR8" s="179"/>
      <c r="BS8" s="179"/>
      <c r="BT8" s="179"/>
      <c r="BU8" s="179"/>
      <c r="BV8" s="179"/>
      <c r="BW8" s="179"/>
    </row>
    <row r="9" spans="2:75" ht="30" customHeight="1" x14ac:dyDescent="0.25">
      <c r="B9" s="22"/>
      <c r="C9" s="23"/>
      <c r="D9" s="23"/>
      <c r="E9" s="23"/>
      <c r="F9" s="23"/>
      <c r="G9" s="24"/>
      <c r="H9" s="25"/>
      <c r="I9" s="166"/>
      <c r="J9" s="175"/>
      <c r="U9" s="179">
        <v>2</v>
      </c>
      <c r="V9" s="175" t="s">
        <v>133</v>
      </c>
      <c r="W9" s="150">
        <v>21300</v>
      </c>
      <c r="X9" s="150">
        <v>710</v>
      </c>
      <c r="Y9" s="150">
        <v>1400</v>
      </c>
      <c r="Z9" s="150">
        <v>2000</v>
      </c>
      <c r="AA9" s="179">
        <v>1</v>
      </c>
      <c r="AB9" s="179"/>
      <c r="AC9" s="179"/>
      <c r="AD9" s="179"/>
      <c r="AE9" s="179"/>
      <c r="AF9" s="179"/>
      <c r="AG9" s="179">
        <v>1</v>
      </c>
      <c r="AH9" s="179">
        <v>1</v>
      </c>
      <c r="AI9" s="179">
        <v>1</v>
      </c>
      <c r="AJ9" s="179">
        <v>1</v>
      </c>
      <c r="AK9" s="179">
        <v>1</v>
      </c>
      <c r="AL9" s="179">
        <v>1</v>
      </c>
      <c r="AM9" s="179"/>
      <c r="AN9" s="179">
        <v>1</v>
      </c>
      <c r="AO9" s="179">
        <v>1</v>
      </c>
      <c r="AP9" s="179">
        <v>1</v>
      </c>
      <c r="AQ9" s="179">
        <v>1</v>
      </c>
      <c r="AR9" s="179">
        <v>1</v>
      </c>
      <c r="AS9" s="179">
        <v>1</v>
      </c>
      <c r="AT9" s="179"/>
      <c r="AU9" s="179">
        <v>1</v>
      </c>
      <c r="AV9" s="179">
        <v>1</v>
      </c>
      <c r="AW9" s="179"/>
      <c r="AX9" s="179"/>
      <c r="AY9" s="179"/>
      <c r="AZ9" s="179"/>
      <c r="BA9" s="179"/>
      <c r="BB9" s="179"/>
      <c r="BC9" s="179">
        <f t="shared" ref="BC9:BC31" si="1">SUM(AA9:BB9)</f>
        <v>15</v>
      </c>
      <c r="BD9" s="191">
        <f t="shared" ref="BD9:BD31" si="2">(BC9*X9)+Y9+Z9</f>
        <v>14050</v>
      </c>
      <c r="BE9" s="179"/>
      <c r="BF9" s="179"/>
      <c r="BG9" s="179"/>
      <c r="BH9" s="179"/>
      <c r="BI9" s="179"/>
      <c r="BJ9" s="179"/>
      <c r="BK9" s="179"/>
      <c r="BL9" s="179"/>
      <c r="BM9" s="179"/>
      <c r="BN9" s="179"/>
      <c r="BO9" s="179"/>
      <c r="BP9" s="179"/>
      <c r="BQ9" s="179"/>
      <c r="BR9" s="179"/>
      <c r="BS9" s="179"/>
      <c r="BT9" s="179"/>
      <c r="BU9" s="179"/>
      <c r="BV9" s="179"/>
      <c r="BW9" s="179"/>
    </row>
    <row r="10" spans="2:75" ht="25.8" x14ac:dyDescent="0.65">
      <c r="B10" s="103">
        <v>1</v>
      </c>
      <c r="C10" s="61" t="s">
        <v>166</v>
      </c>
      <c r="D10" s="64">
        <v>80</v>
      </c>
      <c r="E10" s="61" t="s">
        <v>162</v>
      </c>
      <c r="F10" s="61"/>
      <c r="G10" s="70">
        <v>8000</v>
      </c>
      <c r="H10" s="63" t="s">
        <v>17</v>
      </c>
      <c r="I10" s="167">
        <v>45802</v>
      </c>
      <c r="J10" s="175"/>
      <c r="U10" s="179">
        <v>3</v>
      </c>
      <c r="V10" s="175" t="s">
        <v>134</v>
      </c>
      <c r="W10" s="150">
        <v>18500</v>
      </c>
      <c r="X10" s="150">
        <v>616.66666666666663</v>
      </c>
      <c r="Y10" s="150"/>
      <c r="Z10" s="150">
        <f t="shared" ref="Z10:Z31" si="3">$Z$6*BC11</f>
        <v>1400</v>
      </c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/>
      <c r="AY10" s="179"/>
      <c r="AZ10" s="179"/>
      <c r="BA10" s="179"/>
      <c r="BB10" s="179"/>
      <c r="BC10" s="179">
        <f t="shared" si="1"/>
        <v>0</v>
      </c>
      <c r="BD10" s="191">
        <f t="shared" si="2"/>
        <v>1400</v>
      </c>
      <c r="BE10" s="179"/>
      <c r="BF10" s="179"/>
      <c r="BG10" s="179"/>
      <c r="BH10" s="179"/>
      <c r="BI10" s="179"/>
      <c r="BJ10" s="179"/>
      <c r="BK10" s="179"/>
      <c r="BL10" s="179"/>
      <c r="BM10" s="179"/>
      <c r="BN10" s="179"/>
      <c r="BO10" s="179"/>
      <c r="BP10" s="179"/>
      <c r="BQ10" s="179"/>
      <c r="BR10" s="179"/>
      <c r="BS10" s="179"/>
      <c r="BT10" s="179"/>
      <c r="BU10" s="179"/>
      <c r="BV10" s="179"/>
      <c r="BW10" s="179"/>
    </row>
    <row r="11" spans="2:75" ht="25.8" x14ac:dyDescent="0.65">
      <c r="B11" s="104">
        <v>2</v>
      </c>
      <c r="C11" s="61" t="s">
        <v>166</v>
      </c>
      <c r="D11" s="64">
        <v>80</v>
      </c>
      <c r="E11" s="61" t="s">
        <v>163</v>
      </c>
      <c r="F11" s="61"/>
      <c r="G11" s="70">
        <v>3254</v>
      </c>
      <c r="H11" s="63" t="s">
        <v>17</v>
      </c>
      <c r="I11" s="168">
        <v>45802</v>
      </c>
      <c r="J11" s="175"/>
      <c r="U11" s="179">
        <v>4</v>
      </c>
      <c r="V11" s="175" t="s">
        <v>135</v>
      </c>
      <c r="W11" s="150">
        <v>15000</v>
      </c>
      <c r="X11" s="150">
        <v>500</v>
      </c>
      <c r="Y11" s="150"/>
      <c r="Z11" s="150">
        <f t="shared" si="3"/>
        <v>1400</v>
      </c>
      <c r="AA11" s="179"/>
      <c r="AB11" s="179"/>
      <c r="AC11" s="179"/>
      <c r="AD11" s="179"/>
      <c r="AE11" s="179"/>
      <c r="AF11" s="179"/>
      <c r="AG11" s="179">
        <v>1</v>
      </c>
      <c r="AH11" s="179">
        <v>1</v>
      </c>
      <c r="AI11" s="179">
        <v>1</v>
      </c>
      <c r="AJ11" s="179">
        <v>1</v>
      </c>
      <c r="AK11" s="179">
        <v>1</v>
      </c>
      <c r="AL11" s="179">
        <v>1</v>
      </c>
      <c r="AM11" s="179"/>
      <c r="AN11" s="179">
        <v>1</v>
      </c>
      <c r="AO11" s="179">
        <v>1</v>
      </c>
      <c r="AP11" s="179">
        <v>1</v>
      </c>
      <c r="AQ11" s="179">
        <v>1</v>
      </c>
      <c r="AR11" s="179">
        <v>1</v>
      </c>
      <c r="AS11" s="179">
        <v>1</v>
      </c>
      <c r="AT11" s="179"/>
      <c r="AU11" s="179">
        <v>1</v>
      </c>
      <c r="AV11" s="179">
        <v>1</v>
      </c>
      <c r="AW11" s="179"/>
      <c r="AX11" s="179"/>
      <c r="AY11" s="179"/>
      <c r="AZ11" s="179"/>
      <c r="BA11" s="179"/>
      <c r="BB11" s="179"/>
      <c r="BC11" s="179">
        <f t="shared" si="1"/>
        <v>14</v>
      </c>
      <c r="BD11" s="191">
        <f t="shared" si="2"/>
        <v>8400</v>
      </c>
      <c r="BE11" s="179"/>
      <c r="BF11" s="179"/>
      <c r="BG11" s="179"/>
      <c r="BH11" s="179"/>
      <c r="BI11" s="179"/>
      <c r="BJ11" s="179"/>
      <c r="BK11" s="179"/>
      <c r="BL11" s="179"/>
      <c r="BM11" s="179"/>
      <c r="BN11" s="179"/>
      <c r="BO11" s="179"/>
      <c r="BP11" s="179"/>
      <c r="BQ11" s="179"/>
      <c r="BR11" s="179"/>
      <c r="BS11" s="179"/>
      <c r="BT11" s="179"/>
      <c r="BU11" s="179"/>
      <c r="BV11" s="179"/>
      <c r="BW11" s="179"/>
    </row>
    <row r="12" spans="2:75" ht="25.8" x14ac:dyDescent="0.65">
      <c r="B12" s="104">
        <v>3</v>
      </c>
      <c r="C12" s="61" t="s">
        <v>167</v>
      </c>
      <c r="D12" s="64">
        <v>80</v>
      </c>
      <c r="E12" s="61" t="s">
        <v>164</v>
      </c>
      <c r="F12" s="61"/>
      <c r="G12" s="70">
        <v>4300</v>
      </c>
      <c r="H12" s="63" t="s">
        <v>17</v>
      </c>
      <c r="I12" s="168">
        <v>45824</v>
      </c>
      <c r="J12" s="175"/>
      <c r="U12" s="179">
        <v>5</v>
      </c>
      <c r="V12" s="175" t="s">
        <v>136</v>
      </c>
      <c r="W12" s="150">
        <v>14000</v>
      </c>
      <c r="X12" s="150">
        <v>466.66666666666669</v>
      </c>
      <c r="Y12" s="150"/>
      <c r="Z12" s="150">
        <f t="shared" si="3"/>
        <v>0</v>
      </c>
      <c r="AA12" s="179"/>
      <c r="AB12" s="179"/>
      <c r="AC12" s="179"/>
      <c r="AD12" s="179"/>
      <c r="AE12" s="179"/>
      <c r="AF12" s="179"/>
      <c r="AG12" s="179">
        <v>1</v>
      </c>
      <c r="AH12" s="179">
        <v>1</v>
      </c>
      <c r="AI12" s="179">
        <v>1</v>
      </c>
      <c r="AJ12" s="179">
        <v>1</v>
      </c>
      <c r="AK12" s="179">
        <v>1</v>
      </c>
      <c r="AL12" s="179">
        <v>1</v>
      </c>
      <c r="AM12" s="179"/>
      <c r="AN12" s="179">
        <v>1</v>
      </c>
      <c r="AO12" s="179">
        <v>1</v>
      </c>
      <c r="AP12" s="179">
        <v>1</v>
      </c>
      <c r="AQ12" s="179">
        <v>1</v>
      </c>
      <c r="AR12" s="179">
        <v>1</v>
      </c>
      <c r="AS12" s="179">
        <v>1</v>
      </c>
      <c r="AT12" s="179"/>
      <c r="AU12" s="179">
        <v>1</v>
      </c>
      <c r="AV12" s="179">
        <v>1</v>
      </c>
      <c r="AW12" s="179"/>
      <c r="AX12" s="179"/>
      <c r="AY12" s="179"/>
      <c r="AZ12" s="179"/>
      <c r="BA12" s="179"/>
      <c r="BB12" s="179"/>
      <c r="BC12" s="179">
        <f t="shared" si="1"/>
        <v>14</v>
      </c>
      <c r="BD12" s="191">
        <f t="shared" si="2"/>
        <v>6533.3333333333339</v>
      </c>
      <c r="BE12" s="179"/>
      <c r="BF12" s="179"/>
      <c r="BG12" s="179"/>
      <c r="BH12" s="179"/>
      <c r="BI12" s="179"/>
      <c r="BJ12" s="179"/>
      <c r="BK12" s="179"/>
      <c r="BL12" s="179"/>
      <c r="BM12" s="179"/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</row>
    <row r="13" spans="2:75" ht="25.8" x14ac:dyDescent="0.65">
      <c r="B13" s="104">
        <v>4</v>
      </c>
      <c r="C13" s="61" t="s">
        <v>167</v>
      </c>
      <c r="D13" s="64">
        <v>80</v>
      </c>
      <c r="E13" s="61" t="s">
        <v>165</v>
      </c>
      <c r="F13" s="61"/>
      <c r="G13" s="70">
        <v>3000</v>
      </c>
      <c r="H13" s="63" t="s">
        <v>17</v>
      </c>
      <c r="I13" s="168">
        <v>45824</v>
      </c>
      <c r="J13" s="175"/>
      <c r="U13" s="179">
        <v>6</v>
      </c>
      <c r="V13" s="175" t="s">
        <v>137</v>
      </c>
      <c r="W13" s="150">
        <v>14000</v>
      </c>
      <c r="X13" s="150">
        <v>466.66666666666669</v>
      </c>
      <c r="Y13" s="150"/>
      <c r="Z13" s="150">
        <f t="shared" si="3"/>
        <v>0</v>
      </c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79"/>
      <c r="BA13" s="179"/>
      <c r="BB13" s="179"/>
      <c r="BC13" s="179">
        <f t="shared" si="1"/>
        <v>0</v>
      </c>
      <c r="BD13" s="191">
        <f t="shared" si="2"/>
        <v>0</v>
      </c>
      <c r="BE13" s="179"/>
      <c r="BF13" s="179"/>
      <c r="BG13" s="179"/>
      <c r="BH13" s="179"/>
      <c r="BI13" s="179"/>
      <c r="BJ13" s="179"/>
      <c r="BK13" s="179"/>
      <c r="BL13" s="179"/>
      <c r="BM13" s="179"/>
      <c r="BN13" s="179"/>
      <c r="BO13" s="179"/>
      <c r="BP13" s="179"/>
      <c r="BQ13" s="179"/>
      <c r="BR13" s="179"/>
      <c r="BS13" s="179"/>
      <c r="BT13" s="179"/>
      <c r="BU13" s="179"/>
      <c r="BV13" s="179"/>
      <c r="BW13" s="179"/>
    </row>
    <row r="14" spans="2:75" ht="25.8" x14ac:dyDescent="0.65">
      <c r="B14" s="104">
        <v>5</v>
      </c>
      <c r="C14" s="61" t="s">
        <v>169</v>
      </c>
      <c r="D14" s="64">
        <v>80</v>
      </c>
      <c r="E14" s="61" t="s">
        <v>168</v>
      </c>
      <c r="F14" s="61"/>
      <c r="G14" s="70">
        <v>855</v>
      </c>
      <c r="H14" s="63" t="s">
        <v>17</v>
      </c>
      <c r="I14" s="168">
        <v>45826</v>
      </c>
      <c r="J14" s="175"/>
      <c r="U14" s="179">
        <v>78</v>
      </c>
      <c r="V14" s="175" t="s">
        <v>138</v>
      </c>
      <c r="W14" s="150">
        <v>13000</v>
      </c>
      <c r="X14" s="150">
        <v>433.33333333333331</v>
      </c>
      <c r="Y14" s="150"/>
      <c r="Z14" s="150">
        <f t="shared" si="3"/>
        <v>0</v>
      </c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/>
      <c r="AY14" s="179"/>
      <c r="AZ14" s="179"/>
      <c r="BA14" s="179"/>
      <c r="BB14" s="179"/>
      <c r="BC14" s="179">
        <f t="shared" si="1"/>
        <v>0</v>
      </c>
      <c r="BD14" s="191">
        <f t="shared" si="2"/>
        <v>0</v>
      </c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/>
      <c r="BV14" s="179"/>
      <c r="BW14" s="179"/>
    </row>
    <row r="15" spans="2:75" ht="26.4" customHeight="1" x14ac:dyDescent="0.65">
      <c r="B15" s="104">
        <v>6</v>
      </c>
      <c r="C15" s="159" t="s">
        <v>170</v>
      </c>
      <c r="D15" s="64">
        <v>80</v>
      </c>
      <c r="E15" s="61" t="s">
        <v>168</v>
      </c>
      <c r="F15" s="101"/>
      <c r="G15" s="70">
        <v>850</v>
      </c>
      <c r="H15" s="63" t="s">
        <v>17</v>
      </c>
      <c r="I15" s="168">
        <v>45826</v>
      </c>
      <c r="J15" s="175"/>
      <c r="U15" s="179">
        <v>8</v>
      </c>
      <c r="V15" s="175" t="s">
        <v>139</v>
      </c>
      <c r="W15" s="150">
        <v>14000</v>
      </c>
      <c r="X15" s="150">
        <v>466.66666666666669</v>
      </c>
      <c r="Y15" s="150"/>
      <c r="Z15" s="150">
        <f t="shared" si="3"/>
        <v>0</v>
      </c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/>
      <c r="AY15" s="179"/>
      <c r="AZ15" s="179"/>
      <c r="BA15" s="179"/>
      <c r="BB15" s="179"/>
      <c r="BC15" s="179">
        <f t="shared" si="1"/>
        <v>0</v>
      </c>
      <c r="BD15" s="191">
        <f t="shared" si="2"/>
        <v>0</v>
      </c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/>
      <c r="BV15" s="179"/>
      <c r="BW15" s="179"/>
    </row>
    <row r="16" spans="2:75" ht="51.6" x14ac:dyDescent="0.65">
      <c r="B16" s="104">
        <v>7</v>
      </c>
      <c r="C16" s="60" t="s">
        <v>178</v>
      </c>
      <c r="D16" s="64">
        <v>20</v>
      </c>
      <c r="E16" s="60" t="s">
        <v>179</v>
      </c>
      <c r="F16" s="60"/>
      <c r="G16" s="62">
        <v>2644700</v>
      </c>
      <c r="H16" s="63" t="s">
        <v>17</v>
      </c>
      <c r="I16" s="168">
        <v>45824</v>
      </c>
      <c r="J16" s="175" t="s">
        <v>180</v>
      </c>
      <c r="U16" s="179">
        <v>9</v>
      </c>
      <c r="V16" s="175" t="s">
        <v>140</v>
      </c>
      <c r="W16" s="150">
        <v>50000</v>
      </c>
      <c r="X16" s="150">
        <v>1666.6666666666667</v>
      </c>
      <c r="Y16" s="150"/>
      <c r="Z16" s="150">
        <f t="shared" si="3"/>
        <v>1400</v>
      </c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/>
      <c r="AY16" s="179"/>
      <c r="AZ16" s="179"/>
      <c r="BA16" s="179"/>
      <c r="BB16" s="179"/>
      <c r="BC16" s="179">
        <f t="shared" si="1"/>
        <v>0</v>
      </c>
      <c r="BD16" s="191">
        <f t="shared" si="2"/>
        <v>1400</v>
      </c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/>
      <c r="BV16" s="179"/>
      <c r="BW16" s="179"/>
    </row>
    <row r="17" spans="2:75" ht="25.8" x14ac:dyDescent="0.65">
      <c r="B17" s="104">
        <v>8</v>
      </c>
      <c r="C17" s="61" t="s">
        <v>270</v>
      </c>
      <c r="D17" s="64">
        <v>10</v>
      </c>
      <c r="E17" s="61" t="s">
        <v>271</v>
      </c>
      <c r="F17" s="61"/>
      <c r="G17" s="70">
        <v>562400</v>
      </c>
      <c r="H17" s="63" t="s">
        <v>17</v>
      </c>
      <c r="I17" s="168">
        <v>45841</v>
      </c>
      <c r="J17" s="175" t="s">
        <v>269</v>
      </c>
      <c r="U17" s="179">
        <v>10</v>
      </c>
      <c r="V17" s="175" t="s">
        <v>141</v>
      </c>
      <c r="W17" s="150">
        <v>17000</v>
      </c>
      <c r="X17" s="150">
        <v>566.66666666666663</v>
      </c>
      <c r="Y17" s="150"/>
      <c r="Z17" s="150">
        <f t="shared" si="3"/>
        <v>0</v>
      </c>
      <c r="AA17" s="179"/>
      <c r="AB17" s="179"/>
      <c r="AC17" s="179"/>
      <c r="AD17" s="179"/>
      <c r="AE17" s="179"/>
      <c r="AF17" s="179"/>
      <c r="AG17" s="179">
        <v>1</v>
      </c>
      <c r="AH17" s="179">
        <v>1</v>
      </c>
      <c r="AI17" s="179">
        <v>1</v>
      </c>
      <c r="AJ17" s="179">
        <v>1</v>
      </c>
      <c r="AK17" s="179">
        <v>1</v>
      </c>
      <c r="AL17" s="179">
        <v>1</v>
      </c>
      <c r="AM17" s="179"/>
      <c r="AN17" s="179">
        <v>1</v>
      </c>
      <c r="AO17" s="179">
        <v>1</v>
      </c>
      <c r="AP17" s="179">
        <v>1</v>
      </c>
      <c r="AQ17" s="179">
        <v>1</v>
      </c>
      <c r="AR17" s="179">
        <v>1</v>
      </c>
      <c r="AS17" s="179">
        <v>1</v>
      </c>
      <c r="AT17" s="179"/>
      <c r="AU17" s="179">
        <v>1</v>
      </c>
      <c r="AV17" s="179">
        <v>1</v>
      </c>
      <c r="AW17" s="179"/>
      <c r="AX17" s="179"/>
      <c r="AY17" s="179"/>
      <c r="AZ17" s="179"/>
      <c r="BA17" s="179"/>
      <c r="BB17" s="179"/>
      <c r="BC17" s="179">
        <f t="shared" si="1"/>
        <v>14</v>
      </c>
      <c r="BD17" s="191">
        <f t="shared" si="2"/>
        <v>7933.333333333333</v>
      </c>
      <c r="BE17" s="179"/>
      <c r="BF17" s="179"/>
      <c r="BG17" s="179"/>
      <c r="BH17" s="179"/>
      <c r="BI17" s="179"/>
      <c r="BJ17" s="179"/>
      <c r="BK17" s="179"/>
      <c r="BL17" s="179"/>
      <c r="BM17" s="179"/>
      <c r="BN17" s="179"/>
      <c r="BO17" s="179"/>
      <c r="BP17" s="179"/>
      <c r="BQ17" s="179"/>
      <c r="BR17" s="179"/>
      <c r="BS17" s="179"/>
      <c r="BT17" s="179"/>
      <c r="BU17" s="179"/>
      <c r="BV17" s="179"/>
      <c r="BW17" s="179"/>
    </row>
    <row r="18" spans="2:75" ht="25.8" x14ac:dyDescent="0.65">
      <c r="B18" s="104">
        <v>9</v>
      </c>
      <c r="C18" s="61"/>
      <c r="D18" s="64">
        <v>80</v>
      </c>
      <c r="E18" s="61" t="s">
        <v>285</v>
      </c>
      <c r="F18" s="61"/>
      <c r="G18" s="70">
        <f>1480+16280</f>
        <v>17760</v>
      </c>
      <c r="H18" s="63" t="s">
        <v>17</v>
      </c>
      <c r="I18" s="168">
        <v>45867</v>
      </c>
      <c r="J18" s="175"/>
      <c r="U18" s="179">
        <v>11</v>
      </c>
      <c r="V18" s="175" t="s">
        <v>142</v>
      </c>
      <c r="W18" s="150">
        <v>20000</v>
      </c>
      <c r="X18" s="150">
        <v>666.66666666666663</v>
      </c>
      <c r="Y18" s="150"/>
      <c r="Z18" s="150">
        <f t="shared" si="3"/>
        <v>1400</v>
      </c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79"/>
      <c r="BB18" s="179"/>
      <c r="BC18" s="179">
        <f t="shared" si="1"/>
        <v>0</v>
      </c>
      <c r="BD18" s="191">
        <f t="shared" si="2"/>
        <v>1400</v>
      </c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/>
      <c r="BV18" s="179"/>
      <c r="BW18" s="179"/>
    </row>
    <row r="19" spans="2:75" ht="25.8" x14ac:dyDescent="0.65">
      <c r="B19" s="104">
        <v>10</v>
      </c>
      <c r="C19" s="61"/>
      <c r="D19" s="64">
        <v>80</v>
      </c>
      <c r="E19" s="61" t="s">
        <v>298</v>
      </c>
      <c r="F19" s="61"/>
      <c r="G19" s="70">
        <v>145</v>
      </c>
      <c r="H19" s="63" t="s">
        <v>17</v>
      </c>
      <c r="I19" s="168">
        <v>45867</v>
      </c>
      <c r="J19" s="175"/>
      <c r="U19" s="179">
        <v>12</v>
      </c>
      <c r="V19" s="175" t="s">
        <v>143</v>
      </c>
      <c r="W19" s="150">
        <v>4950</v>
      </c>
      <c r="X19" s="150">
        <v>450</v>
      </c>
      <c r="Y19" s="150"/>
      <c r="Z19" s="150">
        <f t="shared" si="3"/>
        <v>0</v>
      </c>
      <c r="AA19" s="179"/>
      <c r="AB19" s="179"/>
      <c r="AC19" s="179"/>
      <c r="AD19" s="179"/>
      <c r="AE19" s="179"/>
      <c r="AF19" s="179"/>
      <c r="AG19" s="179">
        <v>1</v>
      </c>
      <c r="AH19" s="179">
        <v>1</v>
      </c>
      <c r="AI19" s="179">
        <v>1</v>
      </c>
      <c r="AJ19" s="179">
        <v>1</v>
      </c>
      <c r="AK19" s="179">
        <v>1</v>
      </c>
      <c r="AL19" s="179">
        <v>1</v>
      </c>
      <c r="AM19" s="179"/>
      <c r="AN19" s="179">
        <v>1</v>
      </c>
      <c r="AO19" s="179">
        <v>1</v>
      </c>
      <c r="AP19" s="179">
        <v>1</v>
      </c>
      <c r="AQ19" s="179">
        <v>1</v>
      </c>
      <c r="AR19" s="179">
        <v>1</v>
      </c>
      <c r="AS19" s="179">
        <v>1</v>
      </c>
      <c r="AT19" s="179"/>
      <c r="AU19" s="179">
        <v>1</v>
      </c>
      <c r="AV19" s="179">
        <v>1</v>
      </c>
      <c r="AW19" s="179"/>
      <c r="AX19" s="179"/>
      <c r="AY19" s="179"/>
      <c r="AZ19" s="179"/>
      <c r="BA19" s="179"/>
      <c r="BB19" s="179"/>
      <c r="BC19" s="179">
        <f t="shared" si="1"/>
        <v>14</v>
      </c>
      <c r="BD19" s="191">
        <f t="shared" si="2"/>
        <v>6300</v>
      </c>
      <c r="BE19" s="179"/>
      <c r="BF19" s="179"/>
      <c r="BG19" s="179"/>
      <c r="BH19" s="179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79"/>
      <c r="BV19" s="179"/>
      <c r="BW19" s="179"/>
    </row>
    <row r="20" spans="2:75" ht="25.8" x14ac:dyDescent="0.65">
      <c r="B20" s="104">
        <v>11</v>
      </c>
      <c r="C20" s="61" t="s">
        <v>262</v>
      </c>
      <c r="D20" s="64">
        <v>80</v>
      </c>
      <c r="E20" s="61" t="s">
        <v>297</v>
      </c>
      <c r="F20" s="61"/>
      <c r="G20" s="70">
        <v>405</v>
      </c>
      <c r="H20" s="63" t="s">
        <v>17</v>
      </c>
      <c r="I20" s="168">
        <v>45867</v>
      </c>
      <c r="J20" s="175"/>
      <c r="U20" s="179">
        <v>13</v>
      </c>
      <c r="V20" s="189" t="s">
        <v>144</v>
      </c>
      <c r="W20" s="190">
        <v>3300</v>
      </c>
      <c r="X20" s="190">
        <v>300</v>
      </c>
      <c r="Y20" s="150"/>
      <c r="Z20" s="150">
        <f t="shared" si="3"/>
        <v>0</v>
      </c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/>
      <c r="AY20" s="179"/>
      <c r="AZ20" s="179"/>
      <c r="BA20" s="179"/>
      <c r="BB20" s="179"/>
      <c r="BC20" s="179">
        <f t="shared" si="1"/>
        <v>0</v>
      </c>
      <c r="BD20" s="191">
        <f t="shared" si="2"/>
        <v>0</v>
      </c>
      <c r="BE20" s="179"/>
      <c r="BF20" s="179"/>
      <c r="BG20" s="179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/>
      <c r="BV20" s="179"/>
      <c r="BW20" s="179"/>
    </row>
    <row r="21" spans="2:75" ht="25.8" x14ac:dyDescent="0.65">
      <c r="B21" s="104">
        <v>12</v>
      </c>
      <c r="C21" s="61" t="s">
        <v>262</v>
      </c>
      <c r="D21" s="64">
        <v>80</v>
      </c>
      <c r="E21" s="61" t="s">
        <v>297</v>
      </c>
      <c r="F21" s="61"/>
      <c r="G21" s="70">
        <v>377</v>
      </c>
      <c r="H21" s="63" t="s">
        <v>17</v>
      </c>
      <c r="I21" s="168">
        <v>45867</v>
      </c>
      <c r="J21" s="175"/>
      <c r="U21" s="179">
        <v>14</v>
      </c>
      <c r="V21" s="189" t="s">
        <v>145</v>
      </c>
      <c r="W21" s="190">
        <v>3300</v>
      </c>
      <c r="X21" s="190">
        <v>300</v>
      </c>
      <c r="Y21" s="150"/>
      <c r="Z21" s="150">
        <f t="shared" si="3"/>
        <v>0</v>
      </c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/>
      <c r="AY21" s="179"/>
      <c r="AZ21" s="179"/>
      <c r="BA21" s="179"/>
      <c r="BB21" s="179"/>
      <c r="BC21" s="179">
        <f t="shared" si="1"/>
        <v>0</v>
      </c>
      <c r="BD21" s="191">
        <f t="shared" si="2"/>
        <v>0</v>
      </c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/>
      <c r="BV21" s="179"/>
      <c r="BW21" s="179"/>
    </row>
    <row r="22" spans="2:75" ht="25.8" x14ac:dyDescent="0.65">
      <c r="B22" s="104">
        <v>13</v>
      </c>
      <c r="C22" s="61" t="s">
        <v>262</v>
      </c>
      <c r="D22" s="64">
        <v>80</v>
      </c>
      <c r="E22" s="61" t="s">
        <v>297</v>
      </c>
      <c r="F22" s="61"/>
      <c r="G22" s="70">
        <v>380</v>
      </c>
      <c r="H22" s="63" t="s">
        <v>17</v>
      </c>
      <c r="I22" s="168">
        <v>45867</v>
      </c>
      <c r="J22" s="175"/>
      <c r="U22" s="179">
        <v>15</v>
      </c>
      <c r="V22" s="189" t="s">
        <v>146</v>
      </c>
      <c r="W22" s="190">
        <v>3300</v>
      </c>
      <c r="X22" s="190">
        <v>300</v>
      </c>
      <c r="Y22" s="150"/>
      <c r="Z22" s="150">
        <f t="shared" si="3"/>
        <v>0</v>
      </c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/>
      <c r="AY22" s="179"/>
      <c r="AZ22" s="179"/>
      <c r="BA22" s="179"/>
      <c r="BB22" s="179"/>
      <c r="BC22" s="179">
        <f t="shared" si="1"/>
        <v>0</v>
      </c>
      <c r="BD22" s="191">
        <f t="shared" si="2"/>
        <v>0</v>
      </c>
      <c r="BE22" s="179"/>
      <c r="BF22" s="179"/>
      <c r="BG22" s="179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/>
      <c r="BV22" s="179"/>
      <c r="BW22" s="179"/>
    </row>
    <row r="23" spans="2:75" ht="25.8" x14ac:dyDescent="0.65">
      <c r="B23" s="104">
        <v>14</v>
      </c>
      <c r="C23" s="61" t="s">
        <v>262</v>
      </c>
      <c r="D23" s="64">
        <v>80</v>
      </c>
      <c r="E23" s="61" t="s">
        <v>297</v>
      </c>
      <c r="F23" s="61"/>
      <c r="G23" s="70">
        <v>400</v>
      </c>
      <c r="H23" s="63" t="s">
        <v>17</v>
      </c>
      <c r="I23" s="168">
        <v>45867</v>
      </c>
      <c r="J23" s="175"/>
      <c r="U23" s="179">
        <v>16</v>
      </c>
      <c r="V23" s="189" t="s">
        <v>147</v>
      </c>
      <c r="W23" s="190">
        <v>3300</v>
      </c>
      <c r="X23" s="190">
        <v>300</v>
      </c>
      <c r="Y23" s="150"/>
      <c r="Z23" s="150">
        <f t="shared" si="3"/>
        <v>1900</v>
      </c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/>
      <c r="AY23" s="179"/>
      <c r="AZ23" s="179"/>
      <c r="BA23" s="179"/>
      <c r="BB23" s="179"/>
      <c r="BC23" s="179">
        <f t="shared" si="1"/>
        <v>0</v>
      </c>
      <c r="BD23" s="191">
        <f t="shared" si="2"/>
        <v>1900</v>
      </c>
      <c r="BE23" s="179"/>
      <c r="BF23" s="179"/>
      <c r="BG23" s="179"/>
      <c r="BH23" s="179"/>
      <c r="BI23" s="179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/>
      <c r="BV23" s="179"/>
      <c r="BW23" s="179"/>
    </row>
    <row r="24" spans="2:75" ht="25.8" x14ac:dyDescent="0.65">
      <c r="B24" s="193">
        <v>15</v>
      </c>
      <c r="C24" s="61" t="s">
        <v>296</v>
      </c>
      <c r="D24" s="64">
        <v>50</v>
      </c>
      <c r="E24" s="61" t="s">
        <v>294</v>
      </c>
      <c r="F24" s="61"/>
      <c r="G24" s="70">
        <v>540</v>
      </c>
      <c r="H24" s="63" t="s">
        <v>17</v>
      </c>
      <c r="I24" s="168">
        <v>45867</v>
      </c>
      <c r="J24" s="175"/>
      <c r="U24" s="179">
        <v>17</v>
      </c>
      <c r="V24" s="175" t="s">
        <v>148</v>
      </c>
      <c r="W24" s="150">
        <v>2700</v>
      </c>
      <c r="X24" s="150">
        <v>300</v>
      </c>
      <c r="Y24" s="150"/>
      <c r="Z24" s="150">
        <f t="shared" si="3"/>
        <v>1900</v>
      </c>
      <c r="AA24" s="179">
        <v>1</v>
      </c>
      <c r="AB24" s="179">
        <v>1</v>
      </c>
      <c r="AC24" s="179">
        <v>1</v>
      </c>
      <c r="AD24" s="179">
        <v>1</v>
      </c>
      <c r="AE24" s="179">
        <v>1</v>
      </c>
      <c r="AF24" s="179"/>
      <c r="AG24" s="179">
        <v>1</v>
      </c>
      <c r="AH24" s="179">
        <v>1</v>
      </c>
      <c r="AI24" s="179">
        <v>1</v>
      </c>
      <c r="AJ24" s="179">
        <v>1</v>
      </c>
      <c r="AK24" s="179">
        <v>1</v>
      </c>
      <c r="AL24" s="179">
        <v>1</v>
      </c>
      <c r="AM24" s="179"/>
      <c r="AN24" s="179">
        <v>1</v>
      </c>
      <c r="AO24" s="179">
        <v>1</v>
      </c>
      <c r="AP24" s="179">
        <v>1</v>
      </c>
      <c r="AQ24" s="179">
        <v>1</v>
      </c>
      <c r="AR24" s="179">
        <v>1</v>
      </c>
      <c r="AS24" s="179">
        <v>1</v>
      </c>
      <c r="AT24" s="179"/>
      <c r="AU24" s="179">
        <v>1</v>
      </c>
      <c r="AV24" s="179">
        <v>1</v>
      </c>
      <c r="AW24" s="179"/>
      <c r="AX24" s="179"/>
      <c r="AY24" s="179"/>
      <c r="AZ24" s="179"/>
      <c r="BA24" s="179"/>
      <c r="BB24" s="179"/>
      <c r="BC24" s="179">
        <f t="shared" si="1"/>
        <v>19</v>
      </c>
      <c r="BD24" s="191">
        <f t="shared" si="2"/>
        <v>7600</v>
      </c>
      <c r="BE24" s="179"/>
      <c r="BF24" s="179"/>
      <c r="BG24" s="179"/>
      <c r="BH24" s="179"/>
      <c r="BI24" s="179"/>
      <c r="BJ24" s="179"/>
      <c r="BK24" s="179"/>
      <c r="BL24" s="179"/>
      <c r="BM24" s="179"/>
      <c r="BN24" s="179"/>
      <c r="BO24" s="179"/>
      <c r="BP24" s="179"/>
      <c r="BQ24" s="179"/>
      <c r="BR24" s="179"/>
      <c r="BS24" s="179"/>
      <c r="BT24" s="179"/>
      <c r="BU24" s="179"/>
      <c r="BV24" s="179"/>
      <c r="BW24" s="179"/>
    </row>
    <row r="25" spans="2:75" ht="25.8" x14ac:dyDescent="0.65">
      <c r="B25" s="104">
        <v>16</v>
      </c>
      <c r="C25" s="61" t="s">
        <v>296</v>
      </c>
      <c r="D25" s="64">
        <v>50</v>
      </c>
      <c r="E25" s="61" t="s">
        <v>295</v>
      </c>
      <c r="F25" s="61"/>
      <c r="G25" s="70">
        <v>620</v>
      </c>
      <c r="H25" s="63" t="s">
        <v>17</v>
      </c>
      <c r="I25" s="168">
        <v>45867</v>
      </c>
      <c r="J25" s="175"/>
      <c r="U25" s="179">
        <v>18</v>
      </c>
      <c r="V25" s="175" t="s">
        <v>149</v>
      </c>
      <c r="W25" s="150">
        <v>2200</v>
      </c>
      <c r="X25" s="150">
        <v>200</v>
      </c>
      <c r="Y25" s="150"/>
      <c r="Z25" s="150">
        <f t="shared" si="3"/>
        <v>1900</v>
      </c>
      <c r="AA25" s="179">
        <v>1</v>
      </c>
      <c r="AB25" s="179">
        <v>1</v>
      </c>
      <c r="AC25" s="179">
        <v>1</v>
      </c>
      <c r="AD25" s="179">
        <v>1</v>
      </c>
      <c r="AE25" s="179">
        <v>1</v>
      </c>
      <c r="AF25" s="179"/>
      <c r="AG25" s="179">
        <v>1</v>
      </c>
      <c r="AH25" s="179">
        <v>1</v>
      </c>
      <c r="AI25" s="179">
        <v>1</v>
      </c>
      <c r="AJ25" s="179">
        <v>1</v>
      </c>
      <c r="AK25" s="179">
        <v>1</v>
      </c>
      <c r="AL25" s="179">
        <v>1</v>
      </c>
      <c r="AM25" s="179"/>
      <c r="AN25" s="179">
        <v>1</v>
      </c>
      <c r="AO25" s="179">
        <v>1</v>
      </c>
      <c r="AP25" s="179">
        <v>1</v>
      </c>
      <c r="AQ25" s="179">
        <v>1</v>
      </c>
      <c r="AR25" s="179">
        <v>1</v>
      </c>
      <c r="AS25" s="179">
        <v>1</v>
      </c>
      <c r="AT25" s="179"/>
      <c r="AU25" s="179">
        <v>1</v>
      </c>
      <c r="AV25" s="179">
        <v>1</v>
      </c>
      <c r="AW25" s="179"/>
      <c r="AX25" s="179"/>
      <c r="AY25" s="179"/>
      <c r="AZ25" s="179"/>
      <c r="BA25" s="179"/>
      <c r="BB25" s="179"/>
      <c r="BC25" s="179">
        <f t="shared" si="1"/>
        <v>19</v>
      </c>
      <c r="BD25" s="191">
        <f t="shared" si="2"/>
        <v>5700</v>
      </c>
      <c r="BE25" s="179"/>
      <c r="BF25" s="179"/>
      <c r="BG25" s="179"/>
      <c r="BH25" s="179"/>
      <c r="BI25" s="179"/>
      <c r="BJ25" s="179"/>
      <c r="BK25" s="179"/>
      <c r="BL25" s="179"/>
      <c r="BM25" s="179"/>
      <c r="BN25" s="179"/>
      <c r="BO25" s="179"/>
      <c r="BP25" s="179"/>
      <c r="BQ25" s="179"/>
      <c r="BR25" s="179"/>
      <c r="BS25" s="179"/>
      <c r="BT25" s="179"/>
      <c r="BU25" s="179"/>
      <c r="BV25" s="179"/>
      <c r="BW25" s="179"/>
    </row>
    <row r="26" spans="2:75" ht="25.8" x14ac:dyDescent="0.65">
      <c r="B26" s="104">
        <v>17</v>
      </c>
      <c r="C26" s="61" t="s">
        <v>299</v>
      </c>
      <c r="D26" s="64">
        <v>10</v>
      </c>
      <c r="E26" s="61" t="s">
        <v>300</v>
      </c>
      <c r="F26" s="61"/>
      <c r="G26" s="70">
        <v>3559.06</v>
      </c>
      <c r="H26" s="63" t="s">
        <v>17</v>
      </c>
      <c r="I26" s="168">
        <v>45867</v>
      </c>
      <c r="J26" s="175"/>
      <c r="U26" s="179">
        <v>19</v>
      </c>
      <c r="V26" s="175" t="s">
        <v>150</v>
      </c>
      <c r="W26" s="150">
        <v>1440</v>
      </c>
      <c r="X26" s="150">
        <v>180</v>
      </c>
      <c r="Y26" s="150"/>
      <c r="Z26" s="150">
        <f t="shared" si="3"/>
        <v>0</v>
      </c>
      <c r="AA26" s="179">
        <v>1</v>
      </c>
      <c r="AB26" s="179">
        <v>1</v>
      </c>
      <c r="AC26" s="179">
        <v>1</v>
      </c>
      <c r="AD26" s="179">
        <v>1</v>
      </c>
      <c r="AE26" s="179">
        <v>1</v>
      </c>
      <c r="AF26" s="179"/>
      <c r="AG26" s="179">
        <v>1</v>
      </c>
      <c r="AH26" s="179">
        <v>1</v>
      </c>
      <c r="AI26" s="179">
        <v>1</v>
      </c>
      <c r="AJ26" s="179">
        <v>1</v>
      </c>
      <c r="AK26" s="179">
        <v>1</v>
      </c>
      <c r="AL26" s="179">
        <v>1</v>
      </c>
      <c r="AM26" s="179"/>
      <c r="AN26" s="179">
        <v>1</v>
      </c>
      <c r="AO26" s="179">
        <v>1</v>
      </c>
      <c r="AP26" s="179">
        <v>1</v>
      </c>
      <c r="AQ26" s="179">
        <v>1</v>
      </c>
      <c r="AR26" s="179">
        <v>1</v>
      </c>
      <c r="AS26" s="179">
        <v>1</v>
      </c>
      <c r="AT26" s="179"/>
      <c r="AU26" s="179">
        <v>1</v>
      </c>
      <c r="AV26" s="179">
        <v>1</v>
      </c>
      <c r="AW26" s="179"/>
      <c r="AX26" s="179"/>
      <c r="AY26" s="179"/>
      <c r="AZ26" s="179"/>
      <c r="BA26" s="179"/>
      <c r="BB26" s="179"/>
      <c r="BC26" s="179">
        <f t="shared" si="1"/>
        <v>19</v>
      </c>
      <c r="BD26" s="191">
        <f t="shared" si="2"/>
        <v>3420</v>
      </c>
      <c r="BE26" s="179"/>
      <c r="BF26" s="179"/>
      <c r="BG26" s="179"/>
      <c r="BH26" s="179"/>
      <c r="BI26" s="179"/>
      <c r="BJ26" s="179"/>
      <c r="BK26" s="179"/>
      <c r="BL26" s="179"/>
      <c r="BM26" s="179"/>
      <c r="BN26" s="179"/>
      <c r="BO26" s="179"/>
      <c r="BP26" s="179"/>
      <c r="BQ26" s="179"/>
      <c r="BR26" s="179"/>
      <c r="BS26" s="179"/>
      <c r="BT26" s="179"/>
      <c r="BU26" s="179"/>
      <c r="BV26" s="179"/>
      <c r="BW26" s="179"/>
    </row>
    <row r="27" spans="2:75" ht="25.8" x14ac:dyDescent="0.65">
      <c r="B27" s="104">
        <v>18</v>
      </c>
      <c r="C27" s="61"/>
      <c r="D27" s="64"/>
      <c r="E27" s="61"/>
      <c r="F27" s="61"/>
      <c r="G27" s="70"/>
      <c r="H27" s="63"/>
      <c r="I27" s="168"/>
      <c r="J27" s="175"/>
      <c r="U27" s="179">
        <v>20</v>
      </c>
      <c r="V27" s="175" t="s">
        <v>151</v>
      </c>
      <c r="W27" s="150">
        <v>2160</v>
      </c>
      <c r="X27" s="150">
        <v>180</v>
      </c>
      <c r="Y27" s="150"/>
      <c r="Z27" s="150">
        <f t="shared" si="3"/>
        <v>1400</v>
      </c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>
        <f t="shared" si="1"/>
        <v>0</v>
      </c>
      <c r="BD27" s="191">
        <f t="shared" si="2"/>
        <v>1400</v>
      </c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</row>
    <row r="28" spans="2:75" ht="25.8" x14ac:dyDescent="0.65">
      <c r="B28" s="104">
        <v>19</v>
      </c>
      <c r="C28" s="61"/>
      <c r="D28" s="64"/>
      <c r="E28" s="61"/>
      <c r="F28" s="61"/>
      <c r="G28" s="70"/>
      <c r="H28" s="163"/>
      <c r="I28" s="168"/>
      <c r="J28" s="175"/>
      <c r="U28" s="179">
        <v>21</v>
      </c>
      <c r="V28" s="175" t="s">
        <v>152</v>
      </c>
      <c r="W28" s="150">
        <v>1980</v>
      </c>
      <c r="X28" s="150">
        <v>180</v>
      </c>
      <c r="Y28" s="150"/>
      <c r="Z28" s="150">
        <f t="shared" si="3"/>
        <v>0</v>
      </c>
      <c r="AA28" s="179"/>
      <c r="AB28" s="179"/>
      <c r="AC28" s="179"/>
      <c r="AD28" s="179"/>
      <c r="AE28" s="179"/>
      <c r="AF28" s="179"/>
      <c r="AG28" s="179">
        <v>1</v>
      </c>
      <c r="AH28" s="179">
        <v>1</v>
      </c>
      <c r="AI28" s="179">
        <v>1</v>
      </c>
      <c r="AJ28" s="179">
        <v>1</v>
      </c>
      <c r="AK28" s="179">
        <v>1</v>
      </c>
      <c r="AL28" s="179">
        <v>1</v>
      </c>
      <c r="AM28" s="179"/>
      <c r="AN28" s="179">
        <v>1</v>
      </c>
      <c r="AO28" s="179">
        <v>1</v>
      </c>
      <c r="AP28" s="179">
        <v>1</v>
      </c>
      <c r="AQ28" s="179">
        <v>1</v>
      </c>
      <c r="AR28" s="179">
        <v>1</v>
      </c>
      <c r="AS28" s="179">
        <v>1</v>
      </c>
      <c r="AT28" s="179"/>
      <c r="AU28" s="179">
        <v>1</v>
      </c>
      <c r="AV28" s="179">
        <v>1</v>
      </c>
      <c r="AW28" s="179"/>
      <c r="AX28" s="179"/>
      <c r="AY28" s="179"/>
      <c r="AZ28" s="179"/>
      <c r="BA28" s="179"/>
      <c r="BB28" s="179"/>
      <c r="BC28" s="179">
        <f t="shared" si="1"/>
        <v>14</v>
      </c>
      <c r="BD28" s="191">
        <f t="shared" si="2"/>
        <v>2520</v>
      </c>
      <c r="BE28" s="179"/>
      <c r="BF28" s="179"/>
      <c r="BG28" s="179"/>
      <c r="BH28" s="179"/>
      <c r="BI28" s="179"/>
      <c r="BJ28" s="179"/>
      <c r="BK28" s="179"/>
      <c r="BL28" s="179"/>
      <c r="BM28" s="179"/>
      <c r="BN28" s="179"/>
      <c r="BO28" s="179"/>
      <c r="BP28" s="179"/>
      <c r="BQ28" s="179"/>
      <c r="BR28" s="179"/>
      <c r="BS28" s="179"/>
      <c r="BT28" s="179"/>
      <c r="BU28" s="179"/>
      <c r="BV28" s="179"/>
      <c r="BW28" s="179"/>
    </row>
    <row r="29" spans="2:75" ht="25.8" x14ac:dyDescent="0.65">
      <c r="B29" s="104">
        <v>20</v>
      </c>
      <c r="C29" s="61"/>
      <c r="D29" s="64"/>
      <c r="E29" s="61"/>
      <c r="F29" s="61"/>
      <c r="G29" s="70"/>
      <c r="H29" s="163"/>
      <c r="I29" s="168"/>
      <c r="J29" s="175"/>
      <c r="U29" s="179">
        <v>22</v>
      </c>
      <c r="V29" s="175" t="s">
        <v>153</v>
      </c>
      <c r="W29" s="150">
        <v>1440</v>
      </c>
      <c r="X29" s="150">
        <v>180</v>
      </c>
      <c r="Y29" s="150"/>
      <c r="Z29" s="150">
        <f t="shared" si="3"/>
        <v>0</v>
      </c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/>
      <c r="AY29" s="179"/>
      <c r="AZ29" s="179"/>
      <c r="BA29" s="179"/>
      <c r="BB29" s="179"/>
      <c r="BC29" s="179">
        <f t="shared" si="1"/>
        <v>0</v>
      </c>
      <c r="BD29" s="191">
        <f t="shared" si="2"/>
        <v>0</v>
      </c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/>
      <c r="BV29" s="179"/>
      <c r="BW29" s="179"/>
    </row>
    <row r="30" spans="2:75" ht="25.8" x14ac:dyDescent="0.65">
      <c r="B30" s="104">
        <v>21</v>
      </c>
      <c r="C30" s="61"/>
      <c r="D30" s="64"/>
      <c r="E30" s="61"/>
      <c r="F30" s="61"/>
      <c r="G30" s="70"/>
      <c r="H30" s="163"/>
      <c r="I30" s="168"/>
      <c r="J30" s="175"/>
      <c r="U30" s="179">
        <v>23</v>
      </c>
      <c r="V30" s="175" t="s">
        <v>154</v>
      </c>
      <c r="W30" s="150">
        <v>2160</v>
      </c>
      <c r="X30" s="150">
        <v>180</v>
      </c>
      <c r="Y30" s="150"/>
      <c r="Z30" s="150">
        <f t="shared" si="3"/>
        <v>1400</v>
      </c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/>
      <c r="AY30" s="179"/>
      <c r="AZ30" s="179"/>
      <c r="BA30" s="179"/>
      <c r="BB30" s="179"/>
      <c r="BC30" s="179">
        <f t="shared" si="1"/>
        <v>0</v>
      </c>
      <c r="BD30" s="191">
        <f t="shared" si="2"/>
        <v>1400</v>
      </c>
      <c r="BE30" s="179"/>
      <c r="BF30" s="179"/>
      <c r="BG30" s="179"/>
      <c r="BH30" s="179"/>
      <c r="BI30" s="179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/>
      <c r="BV30" s="179"/>
      <c r="BW30" s="179"/>
    </row>
    <row r="31" spans="2:75" ht="25.8" x14ac:dyDescent="0.65">
      <c r="B31" s="104">
        <v>22</v>
      </c>
      <c r="C31" s="61"/>
      <c r="D31" s="64"/>
      <c r="E31" s="61"/>
      <c r="F31" s="61"/>
      <c r="G31" s="70"/>
      <c r="H31" s="163"/>
      <c r="I31" s="168"/>
      <c r="J31" s="175"/>
      <c r="U31" s="179">
        <v>24</v>
      </c>
      <c r="V31" s="175" t="s">
        <v>155</v>
      </c>
      <c r="W31" s="150">
        <v>1980</v>
      </c>
      <c r="X31" s="150">
        <v>180</v>
      </c>
      <c r="Y31" s="150"/>
      <c r="Z31" s="150">
        <f t="shared" si="3"/>
        <v>0</v>
      </c>
      <c r="AA31" s="179"/>
      <c r="AB31" s="179"/>
      <c r="AC31" s="179"/>
      <c r="AD31" s="179"/>
      <c r="AE31" s="179"/>
      <c r="AF31" s="179"/>
      <c r="AG31" s="179">
        <v>1</v>
      </c>
      <c r="AH31" s="179">
        <v>1</v>
      </c>
      <c r="AI31" s="179">
        <v>1</v>
      </c>
      <c r="AJ31" s="179">
        <v>1</v>
      </c>
      <c r="AK31" s="179">
        <v>1</v>
      </c>
      <c r="AL31" s="179">
        <v>1</v>
      </c>
      <c r="AM31" s="179"/>
      <c r="AN31" s="179">
        <v>1</v>
      </c>
      <c r="AO31" s="179">
        <v>1</v>
      </c>
      <c r="AP31" s="179">
        <v>1</v>
      </c>
      <c r="AQ31" s="179">
        <v>1</v>
      </c>
      <c r="AR31" s="179">
        <v>1</v>
      </c>
      <c r="AS31" s="179">
        <v>1</v>
      </c>
      <c r="AT31" s="179"/>
      <c r="AU31" s="179">
        <v>1</v>
      </c>
      <c r="AV31" s="179">
        <v>1</v>
      </c>
      <c r="AW31" s="179"/>
      <c r="AX31" s="179"/>
      <c r="AY31" s="179"/>
      <c r="AZ31" s="179"/>
      <c r="BA31" s="179"/>
      <c r="BB31" s="179"/>
      <c r="BC31" s="179">
        <f t="shared" si="1"/>
        <v>14</v>
      </c>
      <c r="BD31" s="191">
        <f t="shared" si="2"/>
        <v>2520</v>
      </c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/>
      <c r="BV31" s="179"/>
      <c r="BW31" s="179"/>
    </row>
    <row r="32" spans="2:75" ht="26.4" thickBot="1" x14ac:dyDescent="0.7">
      <c r="B32" s="104">
        <v>23</v>
      </c>
      <c r="C32" s="61"/>
      <c r="D32" s="64"/>
      <c r="E32" s="61"/>
      <c r="F32" s="61"/>
      <c r="G32" s="70"/>
      <c r="H32" s="163"/>
      <c r="I32" s="168"/>
      <c r="J32" s="175"/>
      <c r="W32" s="151">
        <f>SUM(W8:W31)</f>
        <v>262510</v>
      </c>
      <c r="BD32" s="192">
        <f>SUM(BD8:BD31)</f>
        <v>89976.666666666672</v>
      </c>
    </row>
    <row r="33" spans="2:10" ht="26.4" thickTop="1" x14ac:dyDescent="0.65">
      <c r="B33" s="104">
        <v>24</v>
      </c>
      <c r="C33" s="61"/>
      <c r="D33" s="64"/>
      <c r="E33" s="61"/>
      <c r="F33" s="61"/>
      <c r="G33" s="70"/>
      <c r="H33" s="163"/>
      <c r="I33" s="168"/>
      <c r="J33" s="175"/>
    </row>
    <row r="34" spans="2:10" ht="25.8" x14ac:dyDescent="0.65">
      <c r="B34" s="104">
        <v>25</v>
      </c>
      <c r="C34" s="61"/>
      <c r="D34" s="64"/>
      <c r="E34" s="61"/>
      <c r="F34" s="61"/>
      <c r="G34" s="70"/>
      <c r="H34" s="163"/>
      <c r="I34" s="168"/>
      <c r="J34" s="175"/>
    </row>
    <row r="35" spans="2:10" ht="25.8" x14ac:dyDescent="0.65">
      <c r="B35" s="104">
        <v>26</v>
      </c>
      <c r="C35" s="61"/>
      <c r="D35" s="64"/>
      <c r="E35" s="61"/>
      <c r="F35" s="61"/>
      <c r="G35" s="70"/>
      <c r="H35" s="163"/>
      <c r="I35" s="168"/>
      <c r="J35" s="175"/>
    </row>
    <row r="36" spans="2:10" ht="25.8" x14ac:dyDescent="0.65">
      <c r="B36" s="193">
        <v>27</v>
      </c>
      <c r="C36" s="61"/>
      <c r="D36" s="64"/>
      <c r="E36" s="61"/>
      <c r="F36" s="61"/>
      <c r="G36" s="70"/>
      <c r="H36" s="163"/>
      <c r="I36" s="168"/>
      <c r="J36" s="175"/>
    </row>
    <row r="37" spans="2:10" ht="25.8" x14ac:dyDescent="0.65">
      <c r="B37" s="104">
        <v>28</v>
      </c>
      <c r="C37" s="61"/>
      <c r="D37" s="64"/>
      <c r="E37" s="61"/>
      <c r="F37" s="61"/>
      <c r="G37" s="70"/>
      <c r="H37" s="163"/>
      <c r="I37" s="168"/>
      <c r="J37" s="175"/>
    </row>
    <row r="38" spans="2:10" ht="25.8" x14ac:dyDescent="0.65">
      <c r="B38" s="104">
        <v>29</v>
      </c>
      <c r="C38" s="61"/>
      <c r="D38" s="64"/>
      <c r="E38" s="61"/>
      <c r="F38" s="61"/>
      <c r="G38" s="70"/>
      <c r="H38" s="163"/>
      <c r="I38" s="168"/>
      <c r="J38" s="175"/>
    </row>
    <row r="39" spans="2:10" ht="25.8" x14ac:dyDescent="0.65">
      <c r="B39" s="104">
        <v>30</v>
      </c>
      <c r="C39" s="61"/>
      <c r="D39" s="64"/>
      <c r="E39" s="61"/>
      <c r="F39" s="61"/>
      <c r="G39" s="70"/>
      <c r="H39" s="163"/>
      <c r="I39" s="168"/>
      <c r="J39" s="175"/>
    </row>
    <row r="40" spans="2:10" ht="25.8" x14ac:dyDescent="0.65">
      <c r="B40" s="104">
        <v>31</v>
      </c>
      <c r="C40" s="47"/>
      <c r="D40" s="64"/>
      <c r="E40" s="47"/>
      <c r="F40" s="47"/>
      <c r="G40" s="49"/>
      <c r="H40" s="48"/>
      <c r="I40" s="168"/>
      <c r="J40" s="175"/>
    </row>
    <row r="41" spans="2:10" ht="25.8" x14ac:dyDescent="0.65">
      <c r="B41" s="104">
        <v>32</v>
      </c>
      <c r="C41" s="47"/>
      <c r="D41" s="64"/>
      <c r="E41" s="47"/>
      <c r="F41" s="47"/>
      <c r="G41" s="49"/>
      <c r="H41" s="48"/>
      <c r="I41" s="168"/>
      <c r="J41" s="175"/>
    </row>
    <row r="42" spans="2:10" ht="25.8" x14ac:dyDescent="0.65">
      <c r="B42" s="104">
        <v>33</v>
      </c>
      <c r="C42" s="47"/>
      <c r="D42" s="64"/>
      <c r="E42" s="47"/>
      <c r="F42" s="47"/>
      <c r="G42" s="49"/>
      <c r="H42" s="48"/>
      <c r="I42" s="168"/>
      <c r="J42" s="175"/>
    </row>
    <row r="43" spans="2:10" ht="25.8" x14ac:dyDescent="0.65">
      <c r="B43" s="104">
        <v>34</v>
      </c>
      <c r="C43" s="47"/>
      <c r="D43" s="64"/>
      <c r="E43" s="47"/>
      <c r="F43" s="47"/>
      <c r="G43" s="49"/>
      <c r="H43" s="48"/>
      <c r="I43" s="168"/>
      <c r="J43" s="175"/>
    </row>
    <row r="44" spans="2:10" ht="25.8" x14ac:dyDescent="0.65">
      <c r="B44" s="104">
        <v>35</v>
      </c>
      <c r="C44" s="47"/>
      <c r="D44" s="64"/>
      <c r="E44" s="47"/>
      <c r="F44" s="47"/>
      <c r="G44" s="49"/>
      <c r="H44" s="48"/>
      <c r="I44" s="168"/>
      <c r="J44" s="175"/>
    </row>
    <row r="45" spans="2:10" ht="25.8" x14ac:dyDescent="0.65">
      <c r="B45" s="104">
        <v>36</v>
      </c>
      <c r="C45" s="47"/>
      <c r="D45" s="64"/>
      <c r="E45" s="47"/>
      <c r="F45" s="47"/>
      <c r="G45" s="49"/>
      <c r="H45" s="48"/>
      <c r="I45" s="168"/>
      <c r="J45" s="175"/>
    </row>
    <row r="46" spans="2:10" ht="25.8" x14ac:dyDescent="0.65">
      <c r="B46" s="104">
        <v>37</v>
      </c>
      <c r="C46" s="47"/>
      <c r="D46" s="64"/>
      <c r="E46" s="47"/>
      <c r="F46" s="47"/>
      <c r="G46" s="49"/>
      <c r="H46" s="48"/>
      <c r="I46" s="168"/>
      <c r="J46" s="175"/>
    </row>
    <row r="47" spans="2:10" ht="18" x14ac:dyDescent="0.45">
      <c r="B47" s="7"/>
      <c r="C47" s="12"/>
      <c r="D47" s="9"/>
      <c r="E47" s="9"/>
      <c r="F47" s="32" t="s">
        <v>18</v>
      </c>
      <c r="G47" s="33">
        <f>SUM(G9:G46)</f>
        <v>3251545.06</v>
      </c>
      <c r="H47" s="12"/>
      <c r="I47" s="7"/>
    </row>
    <row r="48" spans="2:10" ht="18" x14ac:dyDescent="0.45">
      <c r="B48" s="7"/>
      <c r="C48" s="12"/>
      <c r="D48" s="9"/>
      <c r="E48" s="9"/>
      <c r="F48" s="34" t="s">
        <v>19</v>
      </c>
      <c r="G48" s="35">
        <f>$C$6-G47</f>
        <v>2615555.94</v>
      </c>
      <c r="H48" s="12"/>
      <c r="I48" s="7"/>
    </row>
    <row r="49" spans="2:13" ht="18" x14ac:dyDescent="0.45">
      <c r="B49" s="7"/>
      <c r="C49" s="12"/>
      <c r="D49" s="9"/>
      <c r="E49" s="9"/>
      <c r="F49" s="12"/>
      <c r="G49" s="12"/>
      <c r="H49" s="12"/>
      <c r="I49" s="7"/>
    </row>
    <row r="50" spans="2:13" ht="18" x14ac:dyDescent="0.45">
      <c r="B50" s="7"/>
      <c r="C50" s="12"/>
      <c r="D50" s="9"/>
      <c r="E50" s="9"/>
      <c r="F50" s="36" t="s">
        <v>20</v>
      </c>
      <c r="G50" s="37">
        <f>G48/C6</f>
        <v>0.44580039443670733</v>
      </c>
      <c r="H50" s="38"/>
      <c r="I50" s="7"/>
    </row>
    <row r="51" spans="2:13" ht="26.4" x14ac:dyDescent="0.55000000000000004">
      <c r="B51" s="4"/>
      <c r="C51" s="11"/>
      <c r="D51" s="9"/>
      <c r="E51" s="10"/>
      <c r="F51" s="10"/>
      <c r="G51" s="3"/>
      <c r="H51" s="7"/>
      <c r="I51" s="7"/>
    </row>
    <row r="52" spans="2:13" ht="26.4" x14ac:dyDescent="0.55000000000000004">
      <c r="B52" s="143" t="s">
        <v>79</v>
      </c>
      <c r="C52" s="164" t="str">
        <f>'All Job balance report'!B9</f>
        <v>PKE-2500/002</v>
      </c>
      <c r="D52" s="12"/>
      <c r="E52" s="13"/>
      <c r="F52" s="10"/>
      <c r="G52" s="3"/>
      <c r="H52" s="7"/>
      <c r="I52" s="7"/>
    </row>
    <row r="53" spans="2:13" ht="22.2" x14ac:dyDescent="0.55000000000000004">
      <c r="B53" s="82" t="s">
        <v>7</v>
      </c>
      <c r="C53" s="85">
        <f>'All Job balance report'!G9</f>
        <v>7000</v>
      </c>
      <c r="D53" s="15"/>
      <c r="E53" s="17"/>
      <c r="F53" s="18"/>
      <c r="G53" s="18"/>
      <c r="H53" s="18"/>
      <c r="I53" s="18"/>
    </row>
    <row r="54" spans="2:13" x14ac:dyDescent="0.25">
      <c r="B54" s="557" t="s">
        <v>23</v>
      </c>
      <c r="C54" s="557" t="s">
        <v>28</v>
      </c>
      <c r="D54" s="559"/>
      <c r="E54" s="555" t="s">
        <v>13</v>
      </c>
      <c r="F54" s="555" t="s">
        <v>54</v>
      </c>
      <c r="G54" s="555" t="s">
        <v>55</v>
      </c>
      <c r="H54" s="555" t="s">
        <v>56</v>
      </c>
      <c r="I54" s="555" t="s">
        <v>57</v>
      </c>
    </row>
    <row r="55" spans="2:13" x14ac:dyDescent="0.25">
      <c r="B55" s="558"/>
      <c r="C55" s="558"/>
      <c r="D55" s="560"/>
      <c r="E55" s="555"/>
      <c r="F55" s="555"/>
      <c r="G55" s="555"/>
      <c r="H55" s="555"/>
      <c r="I55" s="555"/>
    </row>
    <row r="56" spans="2:13" ht="20.399999999999999" x14ac:dyDescent="0.3">
      <c r="B56" s="73">
        <v>1</v>
      </c>
      <c r="C56" s="77">
        <v>10</v>
      </c>
      <c r="D56" s="77"/>
      <c r="E56" s="83" t="s">
        <v>25</v>
      </c>
      <c r="F56" s="86">
        <f>L57</f>
        <v>2542401</v>
      </c>
      <c r="G56" s="94">
        <f>SUMIF($D$10:$D$46,$C$56,$G$10:$G$46)</f>
        <v>565959.06000000006</v>
      </c>
      <c r="H56" s="96">
        <f>F56-G56</f>
        <v>1976441.94</v>
      </c>
      <c r="I56" s="84"/>
      <c r="L56" s="149">
        <v>3142401</v>
      </c>
      <c r="M56" s="149">
        <v>2644700</v>
      </c>
    </row>
    <row r="57" spans="2:13" ht="20.399999999999999" x14ac:dyDescent="0.35">
      <c r="B57" s="74">
        <v>2</v>
      </c>
      <c r="C57" s="80">
        <v>20</v>
      </c>
      <c r="D57" s="80"/>
      <c r="E57" s="83" t="s">
        <v>26</v>
      </c>
      <c r="F57" s="87">
        <f>M56+80000</f>
        <v>2724700</v>
      </c>
      <c r="G57" s="94">
        <f>SUMIF($D$10:$D$46,$C$57,$G$10:$G$46)</f>
        <v>2644700</v>
      </c>
      <c r="H57" s="96">
        <f t="shared" ref="H57:H63" si="4">F57-G57</f>
        <v>80000</v>
      </c>
      <c r="I57" s="84"/>
      <c r="L57" s="151">
        <f>L56-SUM(F58:F63)</f>
        <v>2542401</v>
      </c>
    </row>
    <row r="58" spans="2:13" ht="20.399999999999999" x14ac:dyDescent="0.35">
      <c r="B58" s="75">
        <v>3</v>
      </c>
      <c r="C58" s="80">
        <v>30</v>
      </c>
      <c r="D58" s="80"/>
      <c r="E58" s="83" t="s">
        <v>48</v>
      </c>
      <c r="F58" s="87">
        <v>160000</v>
      </c>
      <c r="G58" s="94">
        <f>SUMIF($D$10:$D$46,$C$58,$G$10:$G$46)</f>
        <v>0</v>
      </c>
      <c r="H58" s="96">
        <f t="shared" si="4"/>
        <v>160000</v>
      </c>
      <c r="I58" s="81"/>
    </row>
    <row r="59" spans="2:13" ht="20.399999999999999" x14ac:dyDescent="0.35">
      <c r="B59" s="75">
        <v>4</v>
      </c>
      <c r="C59" s="80">
        <v>40</v>
      </c>
      <c r="D59" s="80"/>
      <c r="E59" s="83" t="s">
        <v>49</v>
      </c>
      <c r="F59" s="87">
        <v>30000</v>
      </c>
      <c r="G59" s="94">
        <f>SUMIF($D$10:$D$46,$C$59,$G$10:$G$46)</f>
        <v>0</v>
      </c>
      <c r="H59" s="96">
        <f t="shared" si="4"/>
        <v>30000</v>
      </c>
      <c r="I59" s="81"/>
    </row>
    <row r="60" spans="2:13" ht="20.399999999999999" x14ac:dyDescent="0.35">
      <c r="B60" s="75">
        <v>5</v>
      </c>
      <c r="C60" s="80">
        <v>50</v>
      </c>
      <c r="D60" s="80"/>
      <c r="E60" s="83" t="s">
        <v>47</v>
      </c>
      <c r="F60" s="87">
        <v>300000</v>
      </c>
      <c r="G60" s="94">
        <f>SUMIF($D$10:$D$46,$C$60,$G$10:$G$46)</f>
        <v>1160</v>
      </c>
      <c r="H60" s="96">
        <f t="shared" si="4"/>
        <v>298840</v>
      </c>
      <c r="I60" s="81"/>
    </row>
    <row r="61" spans="2:13" ht="20.399999999999999" x14ac:dyDescent="0.35">
      <c r="B61" s="76">
        <v>6</v>
      </c>
      <c r="C61" s="80">
        <v>60</v>
      </c>
      <c r="D61" s="80"/>
      <c r="E61" s="83" t="s">
        <v>51</v>
      </c>
      <c r="F61" s="87">
        <v>20000</v>
      </c>
      <c r="G61" s="94">
        <f>SUMIF($D$10:$D$46,$C$61,$G$10:$G$46)</f>
        <v>0</v>
      </c>
      <c r="H61" s="96">
        <f t="shared" si="4"/>
        <v>20000</v>
      </c>
      <c r="I61" s="81"/>
    </row>
    <row r="62" spans="2:13" ht="20.399999999999999" x14ac:dyDescent="0.35">
      <c r="B62" s="76">
        <v>7</v>
      </c>
      <c r="C62" s="80">
        <v>70</v>
      </c>
      <c r="D62" s="80"/>
      <c r="E62" s="83" t="s">
        <v>52</v>
      </c>
      <c r="F62" s="87">
        <v>30000</v>
      </c>
      <c r="G62" s="94">
        <f>SUMIF($D$10:$D$46,$C$62,$G$10:$G$46)</f>
        <v>0</v>
      </c>
      <c r="H62" s="96">
        <f t="shared" si="4"/>
        <v>30000</v>
      </c>
      <c r="I62" s="81"/>
    </row>
    <row r="63" spans="2:13" ht="20.399999999999999" x14ac:dyDescent="0.35">
      <c r="B63" s="76">
        <v>8</v>
      </c>
      <c r="C63" s="80">
        <v>80</v>
      </c>
      <c r="D63" s="80"/>
      <c r="E63" s="83" t="s">
        <v>53</v>
      </c>
      <c r="F63" s="87">
        <v>60000</v>
      </c>
      <c r="G63" s="94">
        <f>SUMIF($D$10:$D$46,$C$63,$G$10:$G$46)</f>
        <v>39726</v>
      </c>
      <c r="H63" s="96">
        <f t="shared" si="4"/>
        <v>20274</v>
      </c>
      <c r="I63" s="81"/>
    </row>
    <row r="64" spans="2:13" ht="20.399999999999999" x14ac:dyDescent="0.35">
      <c r="B64" s="89"/>
      <c r="C64" s="90"/>
      <c r="D64" s="90"/>
      <c r="E64" s="91" t="s">
        <v>59</v>
      </c>
      <c r="F64" s="92">
        <f>SUM(F56:F63)</f>
        <v>5867101</v>
      </c>
      <c r="G64" s="92">
        <f>SUM(G56:G63)</f>
        <v>3251545.06</v>
      </c>
      <c r="H64" s="97">
        <f>SUM(H56:H63)</f>
        <v>2615555.94</v>
      </c>
      <c r="I64" s="93"/>
    </row>
    <row r="65" spans="2:9" ht="20.399999999999999" x14ac:dyDescent="0.35">
      <c r="B65" s="89"/>
      <c r="C65" s="90"/>
      <c r="D65" s="90"/>
      <c r="E65" s="91" t="s">
        <v>60</v>
      </c>
      <c r="F65" s="88">
        <f>((C53-F64)/C53)</f>
        <v>-837.15728571428576</v>
      </c>
      <c r="G65" s="88"/>
      <c r="H65" s="93"/>
      <c r="I65" s="93"/>
    </row>
    <row r="66" spans="2:9" ht="20.399999999999999" x14ac:dyDescent="0.35">
      <c r="B66" s="89"/>
      <c r="C66" s="90"/>
      <c r="D66" s="90"/>
      <c r="E66" s="91" t="s">
        <v>58</v>
      </c>
      <c r="F66" s="92">
        <f>F65*C53</f>
        <v>-5860101</v>
      </c>
      <c r="G66" s="92"/>
      <c r="H66" s="93"/>
      <c r="I66" s="93"/>
    </row>
    <row r="67" spans="2:9" ht="22.2" x14ac:dyDescent="0.35">
      <c r="B67" s="41"/>
      <c r="C67" s="40"/>
      <c r="D67" s="40"/>
      <c r="E67" s="91" t="s">
        <v>68</v>
      </c>
      <c r="F67" s="194">
        <f>C53-G64</f>
        <v>-3244545.06</v>
      </c>
      <c r="G67" s="95"/>
      <c r="H67" s="81"/>
      <c r="I67" s="81"/>
    </row>
    <row r="68" spans="2:9" ht="15" x14ac:dyDescent="0.25">
      <c r="B68" s="41"/>
      <c r="C68" s="40"/>
      <c r="D68" s="40"/>
      <c r="E68" s="40"/>
      <c r="F68" s="40"/>
      <c r="G68" s="42"/>
      <c r="H68" s="43"/>
      <c r="I68" s="43"/>
    </row>
    <row r="69" spans="2:9" ht="15" x14ac:dyDescent="0.25">
      <c r="B69" s="41"/>
      <c r="C69" s="40"/>
      <c r="D69" s="40"/>
      <c r="E69" s="40"/>
      <c r="F69" s="405">
        <v>0.05</v>
      </c>
      <c r="G69" s="42"/>
      <c r="H69" s="43"/>
      <c r="I69" s="43"/>
    </row>
    <row r="70" spans="2:9" ht="15" x14ac:dyDescent="0.25">
      <c r="B70" s="41"/>
      <c r="C70" s="40"/>
      <c r="D70" s="40"/>
      <c r="E70" s="40"/>
      <c r="F70" s="389">
        <f>F67*F69</f>
        <v>-162227.25300000003</v>
      </c>
      <c r="G70" s="42"/>
      <c r="H70" s="43"/>
      <c r="I70" s="43"/>
    </row>
    <row r="71" spans="2:9" ht="15" x14ac:dyDescent="0.25">
      <c r="B71" s="41"/>
      <c r="C71" s="40"/>
      <c r="D71" s="40"/>
      <c r="E71" s="40"/>
      <c r="F71" s="40"/>
      <c r="G71" s="42"/>
      <c r="H71" s="43"/>
      <c r="I71" s="43"/>
    </row>
    <row r="72" spans="2:9" ht="18" x14ac:dyDescent="0.45">
      <c r="B72" s="7"/>
      <c r="C72" s="12"/>
      <c r="D72" s="9"/>
      <c r="E72" s="9"/>
      <c r="F72" s="39"/>
      <c r="G72" s="44"/>
      <c r="H72" s="12"/>
      <c r="I72" s="7"/>
    </row>
    <row r="73" spans="2:9" ht="18" x14ac:dyDescent="0.45">
      <c r="B73" s="7"/>
      <c r="C73" s="12"/>
      <c r="D73" s="9"/>
      <c r="E73" s="9"/>
      <c r="F73" s="45"/>
      <c r="G73" s="46"/>
      <c r="H73" s="12"/>
      <c r="I73" s="7"/>
    </row>
    <row r="74" spans="2:9" ht="18" x14ac:dyDescent="0.45">
      <c r="B74" s="7"/>
      <c r="C74" s="12"/>
      <c r="D74" s="9"/>
      <c r="E74" s="9"/>
      <c r="F74" s="12"/>
      <c r="G74" s="12"/>
      <c r="H74" s="12"/>
      <c r="I74" s="7"/>
    </row>
  </sheetData>
  <mergeCells count="55">
    <mergeCell ref="I54:I55"/>
    <mergeCell ref="B54:B55"/>
    <mergeCell ref="C54:D55"/>
    <mergeCell ref="E54:E55"/>
    <mergeCell ref="F54:F55"/>
    <mergeCell ref="G54:G55"/>
    <mergeCell ref="H54:H55"/>
    <mergeCell ref="BW4:BW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K4:BK6"/>
    <mergeCell ref="AX4:AX6"/>
    <mergeCell ref="AY4:AY6"/>
    <mergeCell ref="AZ4:AZ6"/>
    <mergeCell ref="BA4:BA6"/>
    <mergeCell ref="BB4:BB6"/>
    <mergeCell ref="BE4:BE6"/>
    <mergeCell ref="BF4:BF6"/>
    <mergeCell ref="BG4:BG6"/>
    <mergeCell ref="BH4:BH6"/>
    <mergeCell ref="BI4:BI6"/>
    <mergeCell ref="BJ4:BJ6"/>
    <mergeCell ref="AW4:AW6"/>
    <mergeCell ref="AL4:AL6"/>
    <mergeCell ref="AM4:AM6"/>
    <mergeCell ref="AN4:AN6"/>
    <mergeCell ref="AO4:AO6"/>
    <mergeCell ref="AP4:AP6"/>
    <mergeCell ref="AQ4:AQ6"/>
    <mergeCell ref="AR4:AR6"/>
    <mergeCell ref="AS4:AS6"/>
    <mergeCell ref="AT4:AT6"/>
    <mergeCell ref="AU4:AU6"/>
    <mergeCell ref="AV4:AV6"/>
    <mergeCell ref="AK4:AK6"/>
    <mergeCell ref="E4:F5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</mergeCells>
  <phoneticPr fontId="28" type="noConversion"/>
  <conditionalFormatting sqref="H56:H64">
    <cfRule type="cellIs" dxfId="62" priority="1" operator="lessThan">
      <formula>0</formula>
    </cfRule>
    <cfRule type="cellIs" dxfId="61" priority="2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92BBC-EB37-4B4F-B064-27B1655E1A86}">
  <sheetPr>
    <tabColor theme="2" tint="-0.749992370372631"/>
  </sheetPr>
  <dimension ref="B1:BV85"/>
  <sheetViews>
    <sheetView topLeftCell="A44" zoomScale="40" zoomScaleNormal="40" workbookViewId="0">
      <selection activeCell="H41" sqref="H41"/>
    </sheetView>
  </sheetViews>
  <sheetFormatPr defaultRowHeight="13.8" x14ac:dyDescent="0.25"/>
  <cols>
    <col min="2" max="2" width="21.59765625" style="1" customWidth="1"/>
    <col min="3" max="3" width="38.19921875" style="1" customWidth="1"/>
    <col min="4" max="4" width="17.5" style="1" customWidth="1"/>
    <col min="5" max="5" width="50.5" style="1" customWidth="1"/>
    <col min="6" max="6" width="38.09765625" style="1" customWidth="1"/>
    <col min="7" max="7" width="26" style="1" customWidth="1"/>
    <col min="8" max="9" width="22.19921875" style="1" customWidth="1"/>
    <col min="10" max="10" width="16.796875" customWidth="1"/>
    <col min="16" max="16" width="15.296875" customWidth="1"/>
    <col min="21" max="21" width="6.5" style="177" customWidth="1"/>
    <col min="22" max="26" width="14.09765625" customWidth="1"/>
    <col min="27" max="27" width="6.09765625" style="177" customWidth="1"/>
    <col min="28" max="49" width="4.796875" style="177" customWidth="1"/>
    <col min="50" max="50" width="8.8984375" style="177" customWidth="1"/>
    <col min="51" max="52" width="12.09765625" style="177" customWidth="1"/>
    <col min="53" max="72" width="4.796875" style="177" customWidth="1"/>
    <col min="73" max="73" width="8.8984375" style="177" customWidth="1"/>
    <col min="74" max="74" width="12.09765625" style="177" customWidth="1"/>
  </cols>
  <sheetData>
    <row r="1" spans="2:74" ht="22.2" x14ac:dyDescent="0.35">
      <c r="B1" s="14" t="s">
        <v>0</v>
      </c>
      <c r="C1" s="2" t="s">
        <v>88</v>
      </c>
      <c r="D1" s="2"/>
      <c r="E1" s="2"/>
      <c r="F1" s="3"/>
      <c r="G1" s="3"/>
      <c r="H1" s="146" t="s">
        <v>1</v>
      </c>
      <c r="I1" s="147">
        <v>45778</v>
      </c>
    </row>
    <row r="2" spans="2:74" ht="22.2" x14ac:dyDescent="0.55000000000000004">
      <c r="B2" s="4" t="s">
        <v>2</v>
      </c>
      <c r="C2" s="5" t="s">
        <v>160</v>
      </c>
      <c r="D2" s="5"/>
      <c r="E2" s="5"/>
      <c r="F2" s="3"/>
      <c r="G2" s="3"/>
      <c r="H2" s="146" t="s">
        <v>3</v>
      </c>
      <c r="I2" s="148"/>
    </row>
    <row r="3" spans="2:74" ht="22.2" x14ac:dyDescent="0.55000000000000004">
      <c r="B3" s="4" t="s">
        <v>74</v>
      </c>
      <c r="C3" s="145" t="str">
        <f>C63</f>
        <v>SUT-2500/001</v>
      </c>
      <c r="D3" s="6"/>
      <c r="E3" s="6"/>
      <c r="F3" s="7"/>
      <c r="G3" s="7"/>
      <c r="H3" s="7"/>
      <c r="I3" s="7"/>
    </row>
    <row r="4" spans="2:74" ht="22.2" customHeight="1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AA4" s="568">
        <v>45811</v>
      </c>
      <c r="AB4" s="568">
        <v>45812</v>
      </c>
      <c r="AC4" s="568">
        <v>45813</v>
      </c>
      <c r="AD4" s="568">
        <v>45814</v>
      </c>
      <c r="AE4" s="568">
        <v>45815</v>
      </c>
      <c r="AF4" s="571">
        <v>45816</v>
      </c>
      <c r="AG4" s="568">
        <v>45817</v>
      </c>
      <c r="AH4" s="568">
        <v>45818</v>
      </c>
      <c r="AI4" s="568">
        <v>45819</v>
      </c>
      <c r="AJ4" s="568">
        <v>45820</v>
      </c>
      <c r="AK4" s="568">
        <v>45821</v>
      </c>
      <c r="AL4" s="568">
        <v>45822</v>
      </c>
      <c r="AM4" s="571">
        <v>45823</v>
      </c>
      <c r="AN4" s="568">
        <v>45824</v>
      </c>
      <c r="AO4" s="568">
        <v>45825</v>
      </c>
      <c r="AP4" s="568">
        <v>45826</v>
      </c>
      <c r="AQ4" s="568">
        <v>45827</v>
      </c>
      <c r="AR4" s="568">
        <v>45828</v>
      </c>
      <c r="AS4" s="568">
        <v>45829</v>
      </c>
      <c r="AT4" s="571">
        <v>45830</v>
      </c>
      <c r="AU4" s="568">
        <v>45831</v>
      </c>
      <c r="AV4" s="568">
        <v>45832</v>
      </c>
      <c r="AW4" s="568">
        <v>45833</v>
      </c>
      <c r="AX4" s="182"/>
      <c r="AY4" s="182"/>
      <c r="AZ4" s="182"/>
      <c r="BA4" s="568">
        <v>45834</v>
      </c>
      <c r="BB4" s="568">
        <v>45835</v>
      </c>
      <c r="BC4" s="568">
        <v>45836</v>
      </c>
      <c r="BD4" s="571">
        <v>45837</v>
      </c>
      <c r="BE4" s="568">
        <v>45838</v>
      </c>
      <c r="BF4" s="568">
        <v>45839</v>
      </c>
      <c r="BG4" s="568">
        <v>45840</v>
      </c>
      <c r="BH4" s="568">
        <v>45841</v>
      </c>
      <c r="BI4" s="568">
        <v>45842</v>
      </c>
      <c r="BJ4" s="568">
        <v>45843</v>
      </c>
      <c r="BK4" s="571">
        <v>45844</v>
      </c>
      <c r="BL4" s="568">
        <v>45845</v>
      </c>
      <c r="BM4" s="568">
        <v>45846</v>
      </c>
      <c r="BN4" s="568">
        <v>45847</v>
      </c>
      <c r="BO4" s="568">
        <v>45848</v>
      </c>
      <c r="BP4" s="568">
        <v>45849</v>
      </c>
      <c r="BQ4" s="568">
        <v>45850</v>
      </c>
      <c r="BR4" s="571">
        <v>45851</v>
      </c>
      <c r="BS4" s="568">
        <v>45852</v>
      </c>
      <c r="BT4" s="568">
        <v>45853</v>
      </c>
      <c r="BU4" s="182"/>
      <c r="BV4" s="182"/>
    </row>
    <row r="5" spans="2:74" ht="22.2" x14ac:dyDescent="0.55000000000000004">
      <c r="B5" s="4" t="s">
        <v>7</v>
      </c>
      <c r="C5" s="11">
        <f>C64</f>
        <v>37500</v>
      </c>
      <c r="D5" s="9"/>
      <c r="E5" s="556"/>
      <c r="F5" s="556"/>
      <c r="G5" s="3"/>
      <c r="H5" s="7"/>
      <c r="I5" s="7"/>
      <c r="AA5" s="569"/>
      <c r="AB5" s="569"/>
      <c r="AC5" s="569"/>
      <c r="AD5" s="569"/>
      <c r="AE5" s="569"/>
      <c r="AF5" s="572"/>
      <c r="AG5" s="569"/>
      <c r="AH5" s="569"/>
      <c r="AI5" s="569"/>
      <c r="AJ5" s="569"/>
      <c r="AK5" s="569"/>
      <c r="AL5" s="569"/>
      <c r="AM5" s="572"/>
      <c r="AN5" s="569"/>
      <c r="AO5" s="569"/>
      <c r="AP5" s="569"/>
      <c r="AQ5" s="569"/>
      <c r="AR5" s="569"/>
      <c r="AS5" s="569"/>
      <c r="AT5" s="572"/>
      <c r="AU5" s="569"/>
      <c r="AV5" s="569"/>
      <c r="AW5" s="569"/>
      <c r="AX5" s="183"/>
      <c r="AY5" s="183"/>
      <c r="AZ5" s="183"/>
      <c r="BA5" s="569"/>
      <c r="BB5" s="569"/>
      <c r="BC5" s="569"/>
      <c r="BD5" s="572"/>
      <c r="BE5" s="569"/>
      <c r="BF5" s="569"/>
      <c r="BG5" s="569"/>
      <c r="BH5" s="569"/>
      <c r="BI5" s="569"/>
      <c r="BJ5" s="569"/>
      <c r="BK5" s="572"/>
      <c r="BL5" s="569"/>
      <c r="BM5" s="569"/>
      <c r="BN5" s="569"/>
      <c r="BO5" s="569"/>
      <c r="BP5" s="569"/>
      <c r="BQ5" s="569"/>
      <c r="BR5" s="572"/>
      <c r="BS5" s="569"/>
      <c r="BT5" s="569"/>
      <c r="BU5" s="183"/>
      <c r="BV5" s="183"/>
    </row>
    <row r="6" spans="2:74" ht="26.4" x14ac:dyDescent="0.55000000000000004">
      <c r="B6" s="4" t="s">
        <v>8</v>
      </c>
      <c r="C6" s="11">
        <f>F75</f>
        <v>1397000</v>
      </c>
      <c r="D6" s="12"/>
      <c r="E6" s="13"/>
      <c r="F6" s="10"/>
      <c r="G6" s="3"/>
      <c r="H6" s="7"/>
      <c r="I6" s="7"/>
      <c r="Z6">
        <v>100</v>
      </c>
      <c r="AA6" s="570"/>
      <c r="AB6" s="570"/>
      <c r="AC6" s="570"/>
      <c r="AD6" s="570"/>
      <c r="AE6" s="570"/>
      <c r="AF6" s="573"/>
      <c r="AG6" s="570"/>
      <c r="AH6" s="570"/>
      <c r="AI6" s="570"/>
      <c r="AJ6" s="570"/>
      <c r="AK6" s="570"/>
      <c r="AL6" s="570"/>
      <c r="AM6" s="573"/>
      <c r="AN6" s="570"/>
      <c r="AO6" s="570"/>
      <c r="AP6" s="570"/>
      <c r="AQ6" s="570"/>
      <c r="AR6" s="570"/>
      <c r="AS6" s="570"/>
      <c r="AT6" s="573"/>
      <c r="AU6" s="570"/>
      <c r="AV6" s="570"/>
      <c r="AW6" s="570"/>
      <c r="AX6" s="184"/>
      <c r="AY6" s="184"/>
      <c r="AZ6">
        <v>100</v>
      </c>
      <c r="BA6" s="570"/>
      <c r="BB6" s="570"/>
      <c r="BC6" s="570"/>
      <c r="BD6" s="573"/>
      <c r="BE6" s="570"/>
      <c r="BF6" s="570"/>
      <c r="BG6" s="570"/>
      <c r="BH6" s="570"/>
      <c r="BI6" s="570"/>
      <c r="BJ6" s="570"/>
      <c r="BK6" s="573"/>
      <c r="BL6" s="570"/>
      <c r="BM6" s="570"/>
      <c r="BN6" s="570"/>
      <c r="BO6" s="570"/>
      <c r="BP6" s="570"/>
      <c r="BQ6" s="570"/>
      <c r="BR6" s="573"/>
      <c r="BS6" s="570"/>
      <c r="BT6" s="570"/>
      <c r="BU6" s="184"/>
      <c r="BV6" s="184"/>
    </row>
    <row r="7" spans="2:74" ht="22.2" x14ac:dyDescent="0.55000000000000004">
      <c r="B7" s="15" t="s">
        <v>9</v>
      </c>
      <c r="C7" s="16">
        <f>(C5-C6)/C5</f>
        <v>-36.25333333333333</v>
      </c>
      <c r="D7" s="15" t="s">
        <v>10</v>
      </c>
      <c r="E7" s="17">
        <v>1</v>
      </c>
      <c r="F7" s="18"/>
      <c r="G7" s="18"/>
      <c r="H7" s="18"/>
      <c r="I7" s="18"/>
      <c r="U7" s="178" t="s">
        <v>63</v>
      </c>
      <c r="V7" s="178" t="s">
        <v>129</v>
      </c>
      <c r="W7" s="178" t="s">
        <v>130</v>
      </c>
      <c r="X7" s="181" t="s">
        <v>131</v>
      </c>
      <c r="Y7" s="178" t="s">
        <v>156</v>
      </c>
      <c r="Z7" s="178" t="s">
        <v>157</v>
      </c>
      <c r="AA7" s="188">
        <f>SUM(AA8:AA31)</f>
        <v>4</v>
      </c>
      <c r="AB7" s="188">
        <f t="shared" ref="AB7:BT7" si="0">SUM(AB8:AB31)</f>
        <v>3</v>
      </c>
      <c r="AC7" s="188">
        <f t="shared" si="0"/>
        <v>3</v>
      </c>
      <c r="AD7" s="188">
        <f t="shared" si="0"/>
        <v>3</v>
      </c>
      <c r="AE7" s="188">
        <f t="shared" si="0"/>
        <v>3</v>
      </c>
      <c r="AF7" s="188">
        <f t="shared" si="0"/>
        <v>0</v>
      </c>
      <c r="AG7" s="188">
        <f t="shared" si="0"/>
        <v>10</v>
      </c>
      <c r="AH7" s="188">
        <f t="shared" si="0"/>
        <v>10</v>
      </c>
      <c r="AI7" s="188">
        <f t="shared" si="0"/>
        <v>10</v>
      </c>
      <c r="AJ7" s="188">
        <f t="shared" si="0"/>
        <v>10</v>
      </c>
      <c r="AK7" s="188">
        <f t="shared" si="0"/>
        <v>10</v>
      </c>
      <c r="AL7" s="188">
        <f t="shared" si="0"/>
        <v>10</v>
      </c>
      <c r="AM7" s="188">
        <f t="shared" si="0"/>
        <v>0</v>
      </c>
      <c r="AN7" s="188">
        <f t="shared" si="0"/>
        <v>10</v>
      </c>
      <c r="AO7" s="188">
        <f t="shared" si="0"/>
        <v>10</v>
      </c>
      <c r="AP7" s="188">
        <f t="shared" si="0"/>
        <v>10</v>
      </c>
      <c r="AQ7" s="188">
        <f t="shared" si="0"/>
        <v>10</v>
      </c>
      <c r="AR7" s="188">
        <f t="shared" si="0"/>
        <v>10</v>
      </c>
      <c r="AS7" s="188">
        <f t="shared" si="0"/>
        <v>9</v>
      </c>
      <c r="AT7" s="188">
        <f t="shared" si="0"/>
        <v>0</v>
      </c>
      <c r="AU7" s="188">
        <f t="shared" si="0"/>
        <v>8</v>
      </c>
      <c r="AV7" s="188">
        <f t="shared" si="0"/>
        <v>8</v>
      </c>
      <c r="AW7" s="188">
        <f t="shared" si="0"/>
        <v>8</v>
      </c>
      <c r="AX7" s="188"/>
      <c r="AY7" s="188"/>
      <c r="AZ7" s="188"/>
      <c r="BA7" s="188">
        <f>SUM(BA8:BA31)</f>
        <v>8</v>
      </c>
      <c r="BB7" s="188">
        <f>SUM(BB8:BB31)</f>
        <v>8</v>
      </c>
      <c r="BC7" s="188">
        <f>SUM(BC8:BC31)</f>
        <v>8</v>
      </c>
      <c r="BD7" s="188">
        <f>SUM(BD8:BD31)</f>
        <v>0</v>
      </c>
      <c r="BE7" s="188">
        <f>SUM(BE8:BE31)</f>
        <v>7</v>
      </c>
      <c r="BF7" s="188">
        <f t="shared" si="0"/>
        <v>7</v>
      </c>
      <c r="BG7" s="188">
        <f t="shared" si="0"/>
        <v>6</v>
      </c>
      <c r="BH7" s="188">
        <f t="shared" si="0"/>
        <v>7</v>
      </c>
      <c r="BI7" s="188">
        <f t="shared" si="0"/>
        <v>7</v>
      </c>
      <c r="BJ7" s="188">
        <f t="shared" si="0"/>
        <v>7</v>
      </c>
      <c r="BK7" s="188">
        <f t="shared" si="0"/>
        <v>0</v>
      </c>
      <c r="BL7" s="188">
        <f t="shared" si="0"/>
        <v>7</v>
      </c>
      <c r="BM7" s="188">
        <f t="shared" si="0"/>
        <v>7</v>
      </c>
      <c r="BN7" s="188">
        <f t="shared" si="0"/>
        <v>7</v>
      </c>
      <c r="BO7" s="188">
        <f t="shared" si="0"/>
        <v>0</v>
      </c>
      <c r="BP7" s="188">
        <f t="shared" si="0"/>
        <v>7</v>
      </c>
      <c r="BQ7" s="188">
        <f t="shared" si="0"/>
        <v>7</v>
      </c>
      <c r="BR7" s="188">
        <f t="shared" si="0"/>
        <v>0</v>
      </c>
      <c r="BS7" s="188">
        <f t="shared" si="0"/>
        <v>7</v>
      </c>
      <c r="BT7" s="188">
        <f t="shared" si="0"/>
        <v>7</v>
      </c>
      <c r="BU7" s="188"/>
      <c r="BV7" s="188"/>
    </row>
    <row r="8" spans="2:74" ht="30" customHeight="1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65" t="s">
        <v>16</v>
      </c>
      <c r="J8" s="174" t="s">
        <v>126</v>
      </c>
      <c r="U8" s="179">
        <v>1</v>
      </c>
      <c r="V8" s="180" t="s">
        <v>132</v>
      </c>
      <c r="W8" s="150">
        <v>31500</v>
      </c>
      <c r="X8" s="150">
        <v>1050</v>
      </c>
      <c r="Y8" s="150">
        <v>1400</v>
      </c>
      <c r="Z8" s="150"/>
      <c r="AA8" s="179"/>
      <c r="AB8" s="179"/>
      <c r="AC8" s="179"/>
      <c r="AD8" s="179"/>
      <c r="AE8" s="179"/>
      <c r="AF8" s="179"/>
      <c r="AG8" s="179">
        <v>1</v>
      </c>
      <c r="AH8" s="179">
        <v>1</v>
      </c>
      <c r="AI8" s="179">
        <v>1</v>
      </c>
      <c r="AJ8" s="179">
        <v>1</v>
      </c>
      <c r="AK8" s="179">
        <v>1</v>
      </c>
      <c r="AL8" s="179">
        <v>1</v>
      </c>
      <c r="AM8" s="179"/>
      <c r="AN8" s="179">
        <v>1</v>
      </c>
      <c r="AO8" s="179">
        <v>1</v>
      </c>
      <c r="AP8" s="179">
        <v>1</v>
      </c>
      <c r="AQ8" s="179">
        <v>1</v>
      </c>
      <c r="AR8" s="179">
        <v>1</v>
      </c>
      <c r="AS8" s="179">
        <v>1</v>
      </c>
      <c r="AT8" s="179"/>
      <c r="AU8" s="179">
        <v>1</v>
      </c>
      <c r="AV8" s="179">
        <v>1</v>
      </c>
      <c r="AW8" s="179">
        <v>1</v>
      </c>
      <c r="AX8" s="179">
        <f>SUM(AA8:AW8)</f>
        <v>15</v>
      </c>
      <c r="AY8" s="191">
        <f>W8+$Y8+$Z8</f>
        <v>32900</v>
      </c>
      <c r="AZ8" s="150">
        <f>$AZ$6*BU8</f>
        <v>1600</v>
      </c>
      <c r="BA8" s="179">
        <v>1</v>
      </c>
      <c r="BB8" s="179">
        <v>1</v>
      </c>
      <c r="BC8" s="179">
        <v>1</v>
      </c>
      <c r="BD8" s="179"/>
      <c r="BE8" s="179">
        <v>1</v>
      </c>
      <c r="BF8" s="179">
        <v>1</v>
      </c>
      <c r="BG8" s="179">
        <v>1</v>
      </c>
      <c r="BH8" s="179">
        <v>1</v>
      </c>
      <c r="BI8" s="179">
        <v>1</v>
      </c>
      <c r="BJ8" s="179">
        <v>1</v>
      </c>
      <c r="BK8" s="179"/>
      <c r="BL8" s="179">
        <v>1</v>
      </c>
      <c r="BM8" s="179">
        <v>1</v>
      </c>
      <c r="BN8" s="179">
        <v>1</v>
      </c>
      <c r="BO8" s="179"/>
      <c r="BP8" s="179">
        <v>1</v>
      </c>
      <c r="BQ8" s="179">
        <v>1</v>
      </c>
      <c r="BR8" s="179"/>
      <c r="BS8" s="179">
        <v>1</v>
      </c>
      <c r="BT8" s="179">
        <v>1</v>
      </c>
      <c r="BU8" s="179">
        <f t="shared" ref="BU8:BU31" si="1">SUM(BA8:BT8)</f>
        <v>16</v>
      </c>
      <c r="BV8" s="191">
        <f>(BU8*$X8)+$Y8+$AZ8</f>
        <v>19800</v>
      </c>
    </row>
    <row r="9" spans="2:74" ht="30" customHeight="1" x14ac:dyDescent="0.25">
      <c r="B9" s="22"/>
      <c r="C9" s="23"/>
      <c r="D9" s="23"/>
      <c r="E9" s="23"/>
      <c r="F9" s="23"/>
      <c r="G9" s="24"/>
      <c r="H9" s="25"/>
      <c r="I9" s="166"/>
      <c r="J9" s="175"/>
      <c r="U9" s="179">
        <v>2</v>
      </c>
      <c r="V9" s="175" t="s">
        <v>133</v>
      </c>
      <c r="W9" s="150">
        <v>21300</v>
      </c>
      <c r="X9" s="150">
        <v>710</v>
      </c>
      <c r="Y9" s="150">
        <v>1400</v>
      </c>
      <c r="Z9" s="150">
        <v>2000</v>
      </c>
      <c r="AA9" s="179">
        <v>1</v>
      </c>
      <c r="AB9" s="179"/>
      <c r="AC9" s="179"/>
      <c r="AD9" s="179"/>
      <c r="AE9" s="179"/>
      <c r="AF9" s="179"/>
      <c r="AG9" s="179">
        <v>1</v>
      </c>
      <c r="AH9" s="179">
        <v>1</v>
      </c>
      <c r="AI9" s="179">
        <v>1</v>
      </c>
      <c r="AJ9" s="179">
        <v>1</v>
      </c>
      <c r="AK9" s="179">
        <v>1</v>
      </c>
      <c r="AL9" s="179">
        <v>1</v>
      </c>
      <c r="AM9" s="179"/>
      <c r="AN9" s="179">
        <v>1</v>
      </c>
      <c r="AO9" s="179">
        <v>1</v>
      </c>
      <c r="AP9" s="179">
        <v>1</v>
      </c>
      <c r="AQ9" s="179">
        <v>1</v>
      </c>
      <c r="AR9" s="179">
        <v>1</v>
      </c>
      <c r="AS9" s="179"/>
      <c r="AT9" s="179"/>
      <c r="AU9" s="179"/>
      <c r="AV9" s="179"/>
      <c r="AW9" s="179"/>
      <c r="AX9" s="179">
        <f t="shared" ref="AX9:AX31" si="2">SUM(AA9:AW9)</f>
        <v>12</v>
      </c>
      <c r="AY9" s="191">
        <f t="shared" ref="AY9:AY31" si="3">(AX9*$X9)+$Y9+$Z9</f>
        <v>11920</v>
      </c>
      <c r="AZ9" s="150">
        <f t="shared" ref="AZ9:AZ31" si="4">$AZ$6*BU9</f>
        <v>0</v>
      </c>
      <c r="BA9" s="179"/>
      <c r="BB9" s="179"/>
      <c r="BC9" s="179"/>
      <c r="BD9" s="179"/>
      <c r="BE9" s="179"/>
      <c r="BF9" s="179"/>
      <c r="BG9" s="179"/>
      <c r="BH9" s="179"/>
      <c r="BI9" s="179"/>
      <c r="BJ9" s="179"/>
      <c r="BK9" s="179"/>
      <c r="BL9" s="179"/>
      <c r="BM9" s="179"/>
      <c r="BN9" s="179"/>
      <c r="BO9" s="179"/>
      <c r="BP9" s="179"/>
      <c r="BQ9" s="179"/>
      <c r="BR9" s="179"/>
      <c r="BS9" s="179"/>
      <c r="BT9" s="179"/>
      <c r="BU9" s="179">
        <f t="shared" si="1"/>
        <v>0</v>
      </c>
      <c r="BV9" s="191">
        <f t="shared" ref="BV9:BV31" si="5">(BU9*$X9)+$Y9+$AZ9</f>
        <v>1400</v>
      </c>
    </row>
    <row r="10" spans="2:74" ht="25.8" x14ac:dyDescent="0.65">
      <c r="B10" s="103">
        <v>1</v>
      </c>
      <c r="C10" s="61" t="s">
        <v>89</v>
      </c>
      <c r="D10" s="64">
        <v>10</v>
      </c>
      <c r="E10" s="61" t="s">
        <v>90</v>
      </c>
      <c r="F10" s="61" t="s">
        <v>91</v>
      </c>
      <c r="G10" s="70">
        <v>222000</v>
      </c>
      <c r="H10" s="63" t="s">
        <v>17</v>
      </c>
      <c r="I10" s="167"/>
      <c r="J10" s="175"/>
      <c r="U10" s="179">
        <v>3</v>
      </c>
      <c r="V10" s="175" t="s">
        <v>134</v>
      </c>
      <c r="W10" s="150">
        <v>18500</v>
      </c>
      <c r="X10" s="150">
        <v>616.66666666666663</v>
      </c>
      <c r="Y10" s="150"/>
      <c r="Z10" s="150">
        <f t="shared" ref="Z10:Z31" si="6">$Z$6*AX11</f>
        <v>1500</v>
      </c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  <c r="AW10" s="179"/>
      <c r="AX10" s="179">
        <f t="shared" si="2"/>
        <v>0</v>
      </c>
      <c r="AY10" s="191"/>
      <c r="AZ10" s="150">
        <f t="shared" si="4"/>
        <v>0</v>
      </c>
      <c r="BA10" s="179"/>
      <c r="BB10" s="179"/>
      <c r="BC10" s="179"/>
      <c r="BD10" s="179"/>
      <c r="BE10" s="179"/>
      <c r="BF10" s="179"/>
      <c r="BG10" s="179"/>
      <c r="BH10" s="179"/>
      <c r="BI10" s="179"/>
      <c r="BJ10" s="179"/>
      <c r="BK10" s="179"/>
      <c r="BL10" s="179"/>
      <c r="BM10" s="179"/>
      <c r="BN10" s="179"/>
      <c r="BO10" s="179"/>
      <c r="BP10" s="179"/>
      <c r="BQ10" s="179"/>
      <c r="BR10" s="179"/>
      <c r="BS10" s="179"/>
      <c r="BT10" s="179"/>
      <c r="BU10" s="179">
        <f t="shared" si="1"/>
        <v>0</v>
      </c>
      <c r="BV10" s="191">
        <f t="shared" si="5"/>
        <v>0</v>
      </c>
    </row>
    <row r="11" spans="2:74" ht="25.8" x14ac:dyDescent="0.65">
      <c r="B11" s="104">
        <v>2</v>
      </c>
      <c r="C11" s="61" t="s">
        <v>94</v>
      </c>
      <c r="D11" s="64">
        <v>10</v>
      </c>
      <c r="E11" s="61" t="s">
        <v>93</v>
      </c>
      <c r="F11" s="61" t="s">
        <v>92</v>
      </c>
      <c r="G11" s="70">
        <v>316060</v>
      </c>
      <c r="H11" s="63" t="s">
        <v>17</v>
      </c>
      <c r="I11" s="168"/>
      <c r="J11" s="175"/>
      <c r="U11" s="179">
        <v>4</v>
      </c>
      <c r="V11" s="175" t="s">
        <v>135</v>
      </c>
      <c r="W11" s="150">
        <v>15000</v>
      </c>
      <c r="X11" s="150">
        <v>500</v>
      </c>
      <c r="Y11" s="150"/>
      <c r="Z11" s="150">
        <f t="shared" si="6"/>
        <v>1500</v>
      </c>
      <c r="AA11" s="179"/>
      <c r="AB11" s="179"/>
      <c r="AC11" s="179"/>
      <c r="AD11" s="179"/>
      <c r="AE11" s="179"/>
      <c r="AF11" s="179"/>
      <c r="AG11" s="179">
        <v>1</v>
      </c>
      <c r="AH11" s="179">
        <v>1</v>
      </c>
      <c r="AI11" s="179">
        <v>1</v>
      </c>
      <c r="AJ11" s="179">
        <v>1</v>
      </c>
      <c r="AK11" s="179">
        <v>1</v>
      </c>
      <c r="AL11" s="179">
        <v>1</v>
      </c>
      <c r="AM11" s="179"/>
      <c r="AN11" s="179">
        <v>1</v>
      </c>
      <c r="AO11" s="179">
        <v>1</v>
      </c>
      <c r="AP11" s="179">
        <v>1</v>
      </c>
      <c r="AQ11" s="179">
        <v>1</v>
      </c>
      <c r="AR11" s="179">
        <v>1</v>
      </c>
      <c r="AS11" s="179">
        <v>1</v>
      </c>
      <c r="AT11" s="179"/>
      <c r="AU11" s="179">
        <v>1</v>
      </c>
      <c r="AV11" s="179">
        <v>1</v>
      </c>
      <c r="AW11" s="179">
        <v>1</v>
      </c>
      <c r="AX11" s="179">
        <f t="shared" si="2"/>
        <v>15</v>
      </c>
      <c r="AY11" s="191">
        <f>W11+$Y11+$Z11</f>
        <v>16500</v>
      </c>
      <c r="AZ11" s="150">
        <f t="shared" si="4"/>
        <v>1600</v>
      </c>
      <c r="BA11" s="179">
        <v>1</v>
      </c>
      <c r="BB11" s="179">
        <v>1</v>
      </c>
      <c r="BC11" s="179">
        <v>1</v>
      </c>
      <c r="BD11" s="179"/>
      <c r="BE11" s="179">
        <v>1</v>
      </c>
      <c r="BF11" s="179">
        <v>1</v>
      </c>
      <c r="BG11" s="179">
        <v>1</v>
      </c>
      <c r="BH11" s="179">
        <v>1</v>
      </c>
      <c r="BI11" s="179">
        <v>1</v>
      </c>
      <c r="BJ11" s="179">
        <v>1</v>
      </c>
      <c r="BK11" s="179"/>
      <c r="BL11" s="179">
        <v>1</v>
      </c>
      <c r="BM11" s="179">
        <v>1</v>
      </c>
      <c r="BN11" s="179">
        <v>1</v>
      </c>
      <c r="BO11" s="179"/>
      <c r="BP11" s="179">
        <v>1</v>
      </c>
      <c r="BQ11" s="179">
        <v>1</v>
      </c>
      <c r="BR11" s="179"/>
      <c r="BS11" s="179">
        <v>1</v>
      </c>
      <c r="BT11" s="179">
        <v>1</v>
      </c>
      <c r="BU11" s="179">
        <f t="shared" si="1"/>
        <v>16</v>
      </c>
      <c r="BV11" s="191">
        <f t="shared" si="5"/>
        <v>9600</v>
      </c>
    </row>
    <row r="12" spans="2:74" ht="25.8" x14ac:dyDescent="0.65">
      <c r="B12" s="104">
        <v>3</v>
      </c>
      <c r="C12" s="61" t="s">
        <v>96</v>
      </c>
      <c r="D12" s="64">
        <v>20</v>
      </c>
      <c r="E12" s="61" t="s">
        <v>95</v>
      </c>
      <c r="F12" s="61" t="s">
        <v>97</v>
      </c>
      <c r="G12" s="70">
        <v>8800</v>
      </c>
      <c r="H12" s="63" t="s">
        <v>17</v>
      </c>
      <c r="I12" s="168"/>
      <c r="J12" s="175"/>
      <c r="U12" s="179">
        <v>5</v>
      </c>
      <c r="V12" s="175" t="s">
        <v>136</v>
      </c>
      <c r="W12" s="150">
        <v>14000</v>
      </c>
      <c r="X12" s="150">
        <v>466.66666666666669</v>
      </c>
      <c r="Y12" s="150"/>
      <c r="Z12" s="150">
        <f t="shared" si="6"/>
        <v>0</v>
      </c>
      <c r="AA12" s="179"/>
      <c r="AB12" s="179"/>
      <c r="AC12" s="179"/>
      <c r="AD12" s="179"/>
      <c r="AE12" s="179"/>
      <c r="AF12" s="179"/>
      <c r="AG12" s="179">
        <v>1</v>
      </c>
      <c r="AH12" s="179">
        <v>1</v>
      </c>
      <c r="AI12" s="179">
        <v>1</v>
      </c>
      <c r="AJ12" s="179">
        <v>1</v>
      </c>
      <c r="AK12" s="179">
        <v>1</v>
      </c>
      <c r="AL12" s="179">
        <v>1</v>
      </c>
      <c r="AM12" s="179"/>
      <c r="AN12" s="179">
        <v>1</v>
      </c>
      <c r="AO12" s="179">
        <v>1</v>
      </c>
      <c r="AP12" s="179">
        <v>1</v>
      </c>
      <c r="AQ12" s="179">
        <v>1</v>
      </c>
      <c r="AR12" s="179">
        <v>1</v>
      </c>
      <c r="AS12" s="179">
        <v>1</v>
      </c>
      <c r="AT12" s="179"/>
      <c r="AU12" s="179">
        <v>1</v>
      </c>
      <c r="AV12" s="179">
        <v>1</v>
      </c>
      <c r="AW12" s="179">
        <v>1</v>
      </c>
      <c r="AX12" s="179">
        <f t="shared" si="2"/>
        <v>15</v>
      </c>
      <c r="AY12" s="191">
        <f t="shared" si="3"/>
        <v>7000</v>
      </c>
      <c r="AZ12" s="150">
        <f t="shared" si="4"/>
        <v>1600</v>
      </c>
      <c r="BA12" s="179">
        <v>1</v>
      </c>
      <c r="BB12" s="179">
        <v>1</v>
      </c>
      <c r="BC12" s="179">
        <v>1</v>
      </c>
      <c r="BD12" s="179"/>
      <c r="BE12" s="179">
        <v>1</v>
      </c>
      <c r="BF12" s="179">
        <v>1</v>
      </c>
      <c r="BG12" s="179">
        <v>1</v>
      </c>
      <c r="BH12" s="179">
        <v>1</v>
      </c>
      <c r="BI12" s="179">
        <v>1</v>
      </c>
      <c r="BJ12" s="179">
        <v>1</v>
      </c>
      <c r="BK12" s="179"/>
      <c r="BL12" s="179">
        <v>1</v>
      </c>
      <c r="BM12" s="179">
        <v>1</v>
      </c>
      <c r="BN12" s="179">
        <v>1</v>
      </c>
      <c r="BO12" s="179"/>
      <c r="BP12" s="179">
        <v>1</v>
      </c>
      <c r="BQ12" s="179">
        <v>1</v>
      </c>
      <c r="BR12" s="179"/>
      <c r="BS12" s="179">
        <v>1</v>
      </c>
      <c r="BT12" s="179">
        <v>1</v>
      </c>
      <c r="BU12" s="179">
        <f t="shared" si="1"/>
        <v>16</v>
      </c>
      <c r="BV12" s="191">
        <f t="shared" si="5"/>
        <v>9066.6666666666679</v>
      </c>
    </row>
    <row r="13" spans="2:74" ht="25.8" x14ac:dyDescent="0.65">
      <c r="B13" s="104">
        <v>4</v>
      </c>
      <c r="C13" s="61" t="s">
        <v>98</v>
      </c>
      <c r="D13" s="64">
        <v>10</v>
      </c>
      <c r="E13" s="61"/>
      <c r="F13" s="61" t="s">
        <v>99</v>
      </c>
      <c r="G13" s="70">
        <v>1046.73</v>
      </c>
      <c r="H13" s="63" t="s">
        <v>17</v>
      </c>
      <c r="I13" s="168"/>
      <c r="J13" s="175"/>
      <c r="U13" s="179">
        <v>6</v>
      </c>
      <c r="V13" s="175" t="s">
        <v>137</v>
      </c>
      <c r="W13" s="150">
        <v>14000</v>
      </c>
      <c r="X13" s="150">
        <v>466.66666666666669</v>
      </c>
      <c r="Y13" s="150"/>
      <c r="Z13" s="150">
        <f t="shared" si="6"/>
        <v>0</v>
      </c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>
        <f t="shared" si="2"/>
        <v>0</v>
      </c>
      <c r="AY13" s="191"/>
      <c r="AZ13" s="150">
        <f t="shared" si="4"/>
        <v>0</v>
      </c>
      <c r="BA13" s="179"/>
      <c r="BB13" s="179"/>
      <c r="BC13" s="179"/>
      <c r="BD13" s="179"/>
      <c r="BE13" s="179"/>
      <c r="BF13" s="179"/>
      <c r="BG13" s="179"/>
      <c r="BH13" s="179"/>
      <c r="BI13" s="179"/>
      <c r="BJ13" s="179"/>
      <c r="BK13" s="179"/>
      <c r="BL13" s="179"/>
      <c r="BM13" s="179"/>
      <c r="BN13" s="179"/>
      <c r="BO13" s="179"/>
      <c r="BP13" s="179"/>
      <c r="BQ13" s="179"/>
      <c r="BR13" s="179"/>
      <c r="BS13" s="179"/>
      <c r="BT13" s="179"/>
      <c r="BU13" s="179">
        <f t="shared" si="1"/>
        <v>0</v>
      </c>
      <c r="BV13" s="191">
        <f t="shared" si="5"/>
        <v>0</v>
      </c>
    </row>
    <row r="14" spans="2:74" ht="25.8" x14ac:dyDescent="0.65">
      <c r="B14" s="104">
        <v>5</v>
      </c>
      <c r="C14" s="61" t="s">
        <v>100</v>
      </c>
      <c r="D14" s="64">
        <v>40</v>
      </c>
      <c r="E14" s="61"/>
      <c r="F14" s="61" t="s">
        <v>101</v>
      </c>
      <c r="G14" s="70">
        <v>1121.5</v>
      </c>
      <c r="H14" s="63" t="s">
        <v>17</v>
      </c>
      <c r="I14" s="168"/>
      <c r="J14" s="175"/>
      <c r="U14" s="179">
        <v>78</v>
      </c>
      <c r="V14" s="175" t="s">
        <v>138</v>
      </c>
      <c r="W14" s="150">
        <v>13000</v>
      </c>
      <c r="X14" s="150">
        <v>433.33333333333331</v>
      </c>
      <c r="Y14" s="150"/>
      <c r="Z14" s="150">
        <f t="shared" si="6"/>
        <v>0</v>
      </c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  <c r="AW14" s="179"/>
      <c r="AX14" s="179">
        <f t="shared" si="2"/>
        <v>0</v>
      </c>
      <c r="AY14" s="191"/>
      <c r="AZ14" s="150">
        <f t="shared" si="4"/>
        <v>0</v>
      </c>
      <c r="BA14" s="179"/>
      <c r="BB14" s="179"/>
      <c r="BC14" s="179"/>
      <c r="BD14" s="179"/>
      <c r="BE14" s="179"/>
      <c r="BF14" s="179"/>
      <c r="BG14" s="179"/>
      <c r="BH14" s="179"/>
      <c r="BI14" s="179"/>
      <c r="BJ14" s="179"/>
      <c r="BK14" s="179"/>
      <c r="BL14" s="179"/>
      <c r="BM14" s="179"/>
      <c r="BN14" s="179"/>
      <c r="BO14" s="179"/>
      <c r="BP14" s="179"/>
      <c r="BQ14" s="179"/>
      <c r="BR14" s="179"/>
      <c r="BS14" s="179"/>
      <c r="BT14" s="179"/>
      <c r="BU14" s="179">
        <f t="shared" si="1"/>
        <v>0</v>
      </c>
      <c r="BV14" s="191">
        <f t="shared" si="5"/>
        <v>0</v>
      </c>
    </row>
    <row r="15" spans="2:74" ht="26.4" customHeight="1" x14ac:dyDescent="0.65">
      <c r="B15" s="104">
        <v>6</v>
      </c>
      <c r="C15" s="159" t="s">
        <v>102</v>
      </c>
      <c r="D15" s="64">
        <v>10</v>
      </c>
      <c r="E15" s="101" t="s">
        <v>104</v>
      </c>
      <c r="F15" s="101" t="s">
        <v>103</v>
      </c>
      <c r="G15" s="70">
        <v>235239.5</v>
      </c>
      <c r="H15" s="63" t="s">
        <v>17</v>
      </c>
      <c r="I15" s="169"/>
      <c r="J15" s="175"/>
      <c r="U15" s="179">
        <v>8</v>
      </c>
      <c r="V15" s="175" t="s">
        <v>139</v>
      </c>
      <c r="W15" s="150">
        <v>14000</v>
      </c>
      <c r="X15" s="150">
        <v>466.66666666666669</v>
      </c>
      <c r="Y15" s="150"/>
      <c r="Z15" s="150">
        <f t="shared" si="6"/>
        <v>0</v>
      </c>
      <c r="AA15" s="179"/>
      <c r="AB15" s="179"/>
      <c r="AC15" s="179"/>
      <c r="AD15" s="179"/>
      <c r="AE15" s="179"/>
      <c r="AF15" s="179"/>
      <c r="AG15" s="179"/>
      <c r="AH15" s="179"/>
      <c r="AI15" s="179"/>
      <c r="AJ15" s="179"/>
      <c r="AK15" s="179"/>
      <c r="AL15" s="179"/>
      <c r="AM15" s="179"/>
      <c r="AN15" s="179"/>
      <c r="AO15" s="179"/>
      <c r="AP15" s="179"/>
      <c r="AQ15" s="179"/>
      <c r="AR15" s="179"/>
      <c r="AS15" s="179"/>
      <c r="AT15" s="179"/>
      <c r="AU15" s="179"/>
      <c r="AV15" s="179"/>
      <c r="AW15" s="179"/>
      <c r="AX15" s="179">
        <f t="shared" si="2"/>
        <v>0</v>
      </c>
      <c r="AY15" s="191"/>
      <c r="AZ15" s="150">
        <f t="shared" si="4"/>
        <v>0</v>
      </c>
      <c r="BA15" s="179"/>
      <c r="BB15" s="179"/>
      <c r="BC15" s="179"/>
      <c r="BD15" s="179"/>
      <c r="BE15" s="179"/>
      <c r="BF15" s="179"/>
      <c r="BG15" s="179"/>
      <c r="BH15" s="179"/>
      <c r="BI15" s="179"/>
      <c r="BJ15" s="179"/>
      <c r="BK15" s="179"/>
      <c r="BL15" s="179"/>
      <c r="BM15" s="179"/>
      <c r="BN15" s="179"/>
      <c r="BO15" s="179"/>
      <c r="BP15" s="179"/>
      <c r="BQ15" s="179"/>
      <c r="BR15" s="179"/>
      <c r="BS15" s="179"/>
      <c r="BT15" s="179"/>
      <c r="BU15" s="179">
        <f t="shared" si="1"/>
        <v>0</v>
      </c>
      <c r="BV15" s="191">
        <f t="shared" si="5"/>
        <v>0</v>
      </c>
    </row>
    <row r="16" spans="2:74" ht="25.8" x14ac:dyDescent="0.65">
      <c r="B16" s="104">
        <v>7</v>
      </c>
      <c r="C16" s="60" t="s">
        <v>105</v>
      </c>
      <c r="D16" s="64">
        <v>30</v>
      </c>
      <c r="E16" s="60" t="s">
        <v>106</v>
      </c>
      <c r="F16" s="60" t="s">
        <v>107</v>
      </c>
      <c r="G16" s="62">
        <v>17500</v>
      </c>
      <c r="H16" s="63" t="s">
        <v>17</v>
      </c>
      <c r="I16" s="170"/>
      <c r="J16" s="175"/>
      <c r="U16" s="179">
        <v>9</v>
      </c>
      <c r="V16" s="175" t="s">
        <v>140</v>
      </c>
      <c r="W16" s="150">
        <v>50000</v>
      </c>
      <c r="X16" s="150">
        <v>1666.6666666666667</v>
      </c>
      <c r="Y16" s="150"/>
      <c r="Z16" s="150">
        <f t="shared" si="6"/>
        <v>0</v>
      </c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  <c r="AW16" s="179"/>
      <c r="AX16" s="179">
        <f t="shared" si="2"/>
        <v>0</v>
      </c>
      <c r="AY16" s="191"/>
      <c r="AZ16" s="150">
        <f t="shared" si="4"/>
        <v>0</v>
      </c>
      <c r="BA16" s="179"/>
      <c r="BB16" s="179"/>
      <c r="BC16" s="179"/>
      <c r="BD16" s="179"/>
      <c r="BE16" s="179"/>
      <c r="BF16" s="179"/>
      <c r="BG16" s="179"/>
      <c r="BH16" s="179"/>
      <c r="BI16" s="179"/>
      <c r="BJ16" s="179"/>
      <c r="BK16" s="179"/>
      <c r="BL16" s="179"/>
      <c r="BM16" s="179"/>
      <c r="BN16" s="179"/>
      <c r="BO16" s="179"/>
      <c r="BP16" s="179"/>
      <c r="BQ16" s="179"/>
      <c r="BR16" s="179"/>
      <c r="BS16" s="179"/>
      <c r="BT16" s="179"/>
      <c r="BU16" s="179">
        <f t="shared" si="1"/>
        <v>0</v>
      </c>
      <c r="BV16" s="191">
        <f t="shared" si="5"/>
        <v>0</v>
      </c>
    </row>
    <row r="17" spans="2:74" ht="25.8" x14ac:dyDescent="0.65">
      <c r="B17" s="104">
        <v>8</v>
      </c>
      <c r="C17" s="61" t="s">
        <v>118</v>
      </c>
      <c r="D17" s="64">
        <v>10</v>
      </c>
      <c r="E17" s="61" t="s">
        <v>108</v>
      </c>
      <c r="F17" s="61"/>
      <c r="G17" s="70">
        <v>3500</v>
      </c>
      <c r="H17" s="63" t="s">
        <v>17</v>
      </c>
      <c r="I17" s="167"/>
      <c r="J17" s="175"/>
      <c r="U17" s="179">
        <v>10</v>
      </c>
      <c r="V17" s="175" t="s">
        <v>141</v>
      </c>
      <c r="W17" s="150">
        <v>17000</v>
      </c>
      <c r="X17" s="150">
        <v>566.66666666666663</v>
      </c>
      <c r="Y17" s="150"/>
      <c r="Z17" s="150">
        <f t="shared" si="6"/>
        <v>0</v>
      </c>
      <c r="AA17" s="382"/>
      <c r="AB17" s="382"/>
      <c r="AC17" s="382"/>
      <c r="AD17" s="382"/>
      <c r="AE17" s="382"/>
      <c r="AF17" s="382"/>
      <c r="AG17" s="382"/>
      <c r="AH17" s="382"/>
      <c r="AI17" s="382"/>
      <c r="AJ17" s="382"/>
      <c r="AK17" s="382"/>
      <c r="AL17" s="382"/>
      <c r="AM17" s="382"/>
      <c r="AN17" s="382"/>
      <c r="AO17" s="382"/>
      <c r="AP17" s="382"/>
      <c r="AQ17" s="382"/>
      <c r="AR17" s="382"/>
      <c r="AS17" s="382"/>
      <c r="AT17" s="382"/>
      <c r="AU17" s="382"/>
      <c r="AV17" s="382"/>
      <c r="AW17" s="382"/>
      <c r="AX17" s="179">
        <f t="shared" si="2"/>
        <v>0</v>
      </c>
      <c r="AY17" s="191">
        <f t="shared" si="3"/>
        <v>0</v>
      </c>
      <c r="AZ17" s="150">
        <f t="shared" si="4"/>
        <v>0</v>
      </c>
      <c r="BA17" s="382"/>
      <c r="BB17" s="382"/>
      <c r="BC17" s="382"/>
      <c r="BD17" s="382"/>
      <c r="BE17" s="382"/>
      <c r="BF17" s="382"/>
      <c r="BG17" s="382"/>
      <c r="BH17" s="382"/>
      <c r="BI17" s="382"/>
      <c r="BJ17" s="382"/>
      <c r="BK17" s="382"/>
      <c r="BL17" s="382"/>
      <c r="BM17" s="382"/>
      <c r="BN17" s="382"/>
      <c r="BO17" s="382"/>
      <c r="BP17" s="382"/>
      <c r="BQ17" s="382"/>
      <c r="BR17" s="382"/>
      <c r="BS17" s="382"/>
      <c r="BT17" s="382"/>
      <c r="BU17" s="179">
        <f t="shared" si="1"/>
        <v>0</v>
      </c>
      <c r="BV17" s="191">
        <f t="shared" si="5"/>
        <v>0</v>
      </c>
    </row>
    <row r="18" spans="2:74" ht="25.8" x14ac:dyDescent="0.65">
      <c r="B18" s="104">
        <v>9</v>
      </c>
      <c r="C18" s="61" t="s">
        <v>120</v>
      </c>
      <c r="D18" s="64">
        <v>10</v>
      </c>
      <c r="E18" s="61" t="s">
        <v>110</v>
      </c>
      <c r="F18" s="61"/>
      <c r="G18" s="70">
        <v>1093.46</v>
      </c>
      <c r="H18" s="63" t="s">
        <v>17</v>
      </c>
      <c r="I18" s="168"/>
      <c r="J18" s="175"/>
      <c r="U18" s="179">
        <v>11</v>
      </c>
      <c r="V18" s="175" t="s">
        <v>142</v>
      </c>
      <c r="W18" s="150">
        <v>20000</v>
      </c>
      <c r="X18" s="150">
        <v>666.66666666666663</v>
      </c>
      <c r="Y18" s="150"/>
      <c r="Z18" s="150">
        <f t="shared" si="6"/>
        <v>1500</v>
      </c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>
        <f t="shared" si="2"/>
        <v>0</v>
      </c>
      <c r="AY18" s="191"/>
      <c r="AZ18" s="150">
        <f t="shared" si="4"/>
        <v>0</v>
      </c>
      <c r="BA18" s="179"/>
      <c r="BB18" s="179"/>
      <c r="BC18" s="179"/>
      <c r="BD18" s="179"/>
      <c r="BE18" s="179"/>
      <c r="BF18" s="179"/>
      <c r="BG18" s="179"/>
      <c r="BH18" s="179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79">
        <f t="shared" si="1"/>
        <v>0</v>
      </c>
      <c r="BV18" s="191">
        <f t="shared" si="5"/>
        <v>0</v>
      </c>
    </row>
    <row r="19" spans="2:74" ht="25.8" x14ac:dyDescent="0.65">
      <c r="B19" s="104">
        <v>10</v>
      </c>
      <c r="C19" s="61" t="s">
        <v>120</v>
      </c>
      <c r="D19" s="64">
        <v>10</v>
      </c>
      <c r="E19" s="61" t="s">
        <v>109</v>
      </c>
      <c r="F19" s="61"/>
      <c r="G19" s="70">
        <v>168.22</v>
      </c>
      <c r="H19" s="63" t="s">
        <v>17</v>
      </c>
      <c r="I19" s="168"/>
      <c r="J19" s="175"/>
      <c r="U19" s="179">
        <v>12</v>
      </c>
      <c r="V19" s="175" t="s">
        <v>143</v>
      </c>
      <c r="W19" s="150">
        <v>4950</v>
      </c>
      <c r="X19" s="150">
        <v>450</v>
      </c>
      <c r="Y19" s="150"/>
      <c r="Z19" s="150">
        <f t="shared" si="6"/>
        <v>0</v>
      </c>
      <c r="AA19" s="179"/>
      <c r="AB19" s="179"/>
      <c r="AC19" s="179"/>
      <c r="AD19" s="179"/>
      <c r="AE19" s="179"/>
      <c r="AF19" s="179"/>
      <c r="AG19" s="179">
        <v>1</v>
      </c>
      <c r="AH19" s="179">
        <v>1</v>
      </c>
      <c r="AI19" s="179">
        <v>1</v>
      </c>
      <c r="AJ19" s="179">
        <v>1</v>
      </c>
      <c r="AK19" s="179">
        <v>1</v>
      </c>
      <c r="AL19" s="179">
        <v>1</v>
      </c>
      <c r="AM19" s="179"/>
      <c r="AN19" s="179">
        <v>1</v>
      </c>
      <c r="AO19" s="179">
        <v>1</v>
      </c>
      <c r="AP19" s="179">
        <v>1</v>
      </c>
      <c r="AQ19" s="179">
        <v>1</v>
      </c>
      <c r="AR19" s="179">
        <v>1</v>
      </c>
      <c r="AS19" s="179">
        <v>1</v>
      </c>
      <c r="AT19" s="179"/>
      <c r="AU19" s="179">
        <v>1</v>
      </c>
      <c r="AV19" s="179">
        <v>1</v>
      </c>
      <c r="AW19" s="179">
        <v>1</v>
      </c>
      <c r="AX19" s="179">
        <f t="shared" si="2"/>
        <v>15</v>
      </c>
      <c r="AY19" s="191">
        <f t="shared" si="3"/>
        <v>6750</v>
      </c>
      <c r="AZ19" s="150">
        <f t="shared" si="4"/>
        <v>1500</v>
      </c>
      <c r="BA19" s="179">
        <v>1</v>
      </c>
      <c r="BB19" s="179">
        <v>1</v>
      </c>
      <c r="BC19" s="179">
        <v>1</v>
      </c>
      <c r="BD19" s="179"/>
      <c r="BE19" s="179">
        <v>1</v>
      </c>
      <c r="BF19" s="179">
        <v>1</v>
      </c>
      <c r="BG19" s="179"/>
      <c r="BH19" s="179">
        <v>1</v>
      </c>
      <c r="BI19" s="179">
        <v>1</v>
      </c>
      <c r="BJ19" s="179">
        <v>1</v>
      </c>
      <c r="BK19" s="179"/>
      <c r="BL19" s="179">
        <v>1</v>
      </c>
      <c r="BM19" s="179">
        <v>1</v>
      </c>
      <c r="BN19" s="179">
        <v>1</v>
      </c>
      <c r="BO19" s="179"/>
      <c r="BP19" s="179">
        <v>1</v>
      </c>
      <c r="BQ19" s="179">
        <v>1</v>
      </c>
      <c r="BR19" s="179"/>
      <c r="BS19" s="179">
        <v>1</v>
      </c>
      <c r="BT19" s="179">
        <v>1</v>
      </c>
      <c r="BU19" s="179">
        <f t="shared" si="1"/>
        <v>15</v>
      </c>
      <c r="BV19" s="191">
        <f t="shared" si="5"/>
        <v>8250</v>
      </c>
    </row>
    <row r="20" spans="2:74" ht="25.8" x14ac:dyDescent="0.65">
      <c r="B20" s="104">
        <v>11</v>
      </c>
      <c r="C20" s="61" t="s">
        <v>119</v>
      </c>
      <c r="D20" s="64">
        <v>10</v>
      </c>
      <c r="E20" s="61" t="s">
        <v>112</v>
      </c>
      <c r="F20" s="61"/>
      <c r="G20" s="70">
        <v>2200</v>
      </c>
      <c r="H20" s="63" t="s">
        <v>17</v>
      </c>
      <c r="I20" s="168"/>
      <c r="J20" s="175"/>
      <c r="U20" s="179">
        <v>13</v>
      </c>
      <c r="V20" s="189" t="s">
        <v>144</v>
      </c>
      <c r="W20" s="190">
        <v>3300</v>
      </c>
      <c r="X20" s="190">
        <v>300</v>
      </c>
      <c r="Y20" s="150"/>
      <c r="Z20" s="150">
        <f t="shared" si="6"/>
        <v>0</v>
      </c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  <c r="AW20" s="179"/>
      <c r="AX20" s="179">
        <f t="shared" si="2"/>
        <v>0</v>
      </c>
      <c r="AY20" s="191"/>
      <c r="AZ20" s="150">
        <f t="shared" si="4"/>
        <v>0</v>
      </c>
      <c r="BA20" s="179"/>
      <c r="BB20" s="179"/>
      <c r="BC20" s="179"/>
      <c r="BD20" s="179"/>
      <c r="BE20" s="179"/>
      <c r="BF20" s="179"/>
      <c r="BG20" s="179"/>
      <c r="BH20" s="179"/>
      <c r="BI20" s="179"/>
      <c r="BJ20" s="179"/>
      <c r="BK20" s="179"/>
      <c r="BL20" s="179"/>
      <c r="BM20" s="179"/>
      <c r="BN20" s="179"/>
      <c r="BO20" s="179"/>
      <c r="BP20" s="179"/>
      <c r="BQ20" s="179"/>
      <c r="BR20" s="179"/>
      <c r="BS20" s="179"/>
      <c r="BT20" s="179"/>
      <c r="BU20" s="179">
        <f t="shared" si="1"/>
        <v>0</v>
      </c>
      <c r="BV20" s="191">
        <f t="shared" si="5"/>
        <v>0</v>
      </c>
    </row>
    <row r="21" spans="2:74" ht="25.8" x14ac:dyDescent="0.65">
      <c r="B21" s="104">
        <v>12</v>
      </c>
      <c r="C21" s="61" t="s">
        <v>117</v>
      </c>
      <c r="D21" s="64">
        <v>10</v>
      </c>
      <c r="E21" s="61" t="s">
        <v>111</v>
      </c>
      <c r="F21" s="61"/>
      <c r="G21" s="70">
        <v>1102.0999999999999</v>
      </c>
      <c r="H21" s="63" t="s">
        <v>17</v>
      </c>
      <c r="I21" s="168"/>
      <c r="J21" s="175"/>
      <c r="U21" s="179">
        <v>14</v>
      </c>
      <c r="V21" s="189" t="s">
        <v>145</v>
      </c>
      <c r="W21" s="190">
        <v>3300</v>
      </c>
      <c r="X21" s="190">
        <v>300</v>
      </c>
      <c r="Y21" s="150"/>
      <c r="Z21" s="150">
        <f t="shared" si="6"/>
        <v>0</v>
      </c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  <c r="AW21" s="179"/>
      <c r="AX21" s="179">
        <f t="shared" si="2"/>
        <v>0</v>
      </c>
      <c r="AY21" s="191"/>
      <c r="AZ21" s="150">
        <f t="shared" si="4"/>
        <v>0</v>
      </c>
      <c r="BA21" s="179"/>
      <c r="BB21" s="179"/>
      <c r="BC21" s="179"/>
      <c r="BD21" s="179"/>
      <c r="BE21" s="179"/>
      <c r="BF21" s="179"/>
      <c r="BG21" s="179"/>
      <c r="BH21" s="179"/>
      <c r="BI21" s="179"/>
      <c r="BJ21" s="179"/>
      <c r="BK21" s="179"/>
      <c r="BL21" s="179"/>
      <c r="BM21" s="179"/>
      <c r="BN21" s="179"/>
      <c r="BO21" s="179"/>
      <c r="BP21" s="179"/>
      <c r="BQ21" s="179"/>
      <c r="BR21" s="179"/>
      <c r="BS21" s="179"/>
      <c r="BT21" s="179"/>
      <c r="BU21" s="179">
        <f t="shared" si="1"/>
        <v>0</v>
      </c>
      <c r="BV21" s="191">
        <f t="shared" si="5"/>
        <v>0</v>
      </c>
    </row>
    <row r="22" spans="2:74" ht="25.8" x14ac:dyDescent="0.65">
      <c r="B22" s="104">
        <v>13</v>
      </c>
      <c r="C22" s="61" t="s">
        <v>115</v>
      </c>
      <c r="D22" s="64">
        <v>10</v>
      </c>
      <c r="E22" s="61" t="s">
        <v>113</v>
      </c>
      <c r="F22" s="61"/>
      <c r="G22" s="70">
        <v>210608.1</v>
      </c>
      <c r="H22" s="63" t="s">
        <v>17</v>
      </c>
      <c r="I22" s="171"/>
      <c r="J22" s="175"/>
      <c r="U22" s="179">
        <v>15</v>
      </c>
      <c r="V22" s="189" t="s">
        <v>146</v>
      </c>
      <c r="W22" s="190">
        <v>3300</v>
      </c>
      <c r="X22" s="190">
        <v>300</v>
      </c>
      <c r="Y22" s="150"/>
      <c r="Z22" s="150">
        <f t="shared" si="6"/>
        <v>0</v>
      </c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  <c r="AW22" s="179"/>
      <c r="AX22" s="179">
        <f t="shared" si="2"/>
        <v>0</v>
      </c>
      <c r="AY22" s="191"/>
      <c r="AZ22" s="150">
        <f t="shared" si="4"/>
        <v>0</v>
      </c>
      <c r="BA22" s="179"/>
      <c r="BB22" s="179"/>
      <c r="BC22" s="179"/>
      <c r="BD22" s="179"/>
      <c r="BE22" s="179"/>
      <c r="BF22" s="179"/>
      <c r="BG22" s="179"/>
      <c r="BH22" s="179"/>
      <c r="BI22" s="179"/>
      <c r="BJ22" s="179"/>
      <c r="BK22" s="179"/>
      <c r="BL22" s="179"/>
      <c r="BM22" s="179"/>
      <c r="BN22" s="179"/>
      <c r="BO22" s="179"/>
      <c r="BP22" s="179"/>
      <c r="BQ22" s="179"/>
      <c r="BR22" s="179"/>
      <c r="BS22" s="179"/>
      <c r="BT22" s="179"/>
      <c r="BU22" s="179">
        <f t="shared" si="1"/>
        <v>0</v>
      </c>
      <c r="BV22" s="191">
        <f t="shared" si="5"/>
        <v>0</v>
      </c>
    </row>
    <row r="23" spans="2:74" ht="25.8" x14ac:dyDescent="0.65">
      <c r="B23" s="104">
        <v>14</v>
      </c>
      <c r="C23" s="61" t="s">
        <v>116</v>
      </c>
      <c r="D23" s="64">
        <v>10</v>
      </c>
      <c r="E23" s="61" t="s">
        <v>114</v>
      </c>
      <c r="F23" s="61"/>
      <c r="G23" s="70">
        <v>42061</v>
      </c>
      <c r="H23" s="63" t="s">
        <v>17</v>
      </c>
      <c r="I23" s="171"/>
      <c r="J23" s="175"/>
      <c r="U23" s="179">
        <v>16</v>
      </c>
      <c r="V23" s="189" t="s">
        <v>147</v>
      </c>
      <c r="W23" s="190">
        <v>3300</v>
      </c>
      <c r="X23" s="190">
        <v>300</v>
      </c>
      <c r="Y23" s="150"/>
      <c r="Z23" s="150">
        <f t="shared" si="6"/>
        <v>1700</v>
      </c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  <c r="AW23" s="179"/>
      <c r="AX23" s="179">
        <f t="shared" si="2"/>
        <v>0</v>
      </c>
      <c r="AY23" s="191"/>
      <c r="AZ23" s="150">
        <f t="shared" si="4"/>
        <v>0</v>
      </c>
      <c r="BA23" s="179"/>
      <c r="BB23" s="179"/>
      <c r="BC23" s="179"/>
      <c r="BD23" s="179"/>
      <c r="BE23" s="179"/>
      <c r="BF23" s="179"/>
      <c r="BG23" s="179"/>
      <c r="BH23" s="179"/>
      <c r="BI23" s="179"/>
      <c r="BJ23" s="179"/>
      <c r="BK23" s="179"/>
      <c r="BL23" s="179"/>
      <c r="BM23" s="179"/>
      <c r="BN23" s="179"/>
      <c r="BO23" s="179"/>
      <c r="BP23" s="179"/>
      <c r="BQ23" s="179"/>
      <c r="BR23" s="179"/>
      <c r="BS23" s="179"/>
      <c r="BT23" s="179"/>
      <c r="BU23" s="179">
        <f t="shared" si="1"/>
        <v>0</v>
      </c>
      <c r="BV23" s="191">
        <f t="shared" si="5"/>
        <v>0</v>
      </c>
    </row>
    <row r="24" spans="2:74" s="162" customFormat="1" ht="25.8" x14ac:dyDescent="0.65">
      <c r="B24" s="106">
        <v>15</v>
      </c>
      <c r="C24" s="160"/>
      <c r="D24" s="198">
        <v>30</v>
      </c>
      <c r="E24" s="199" t="s">
        <v>121</v>
      </c>
      <c r="F24" s="199"/>
      <c r="G24" s="200">
        <v>8000</v>
      </c>
      <c r="H24" s="201" t="s">
        <v>17</v>
      </c>
      <c r="I24" s="172"/>
      <c r="J24" s="176"/>
      <c r="U24" s="179">
        <v>17</v>
      </c>
      <c r="V24" s="185" t="s">
        <v>148</v>
      </c>
      <c r="W24" s="186">
        <v>2700</v>
      </c>
      <c r="X24" s="186">
        <v>300</v>
      </c>
      <c r="Y24" s="186"/>
      <c r="Z24" s="186">
        <f t="shared" si="6"/>
        <v>2000</v>
      </c>
      <c r="AA24" s="187">
        <v>1</v>
      </c>
      <c r="AB24" s="187">
        <v>1</v>
      </c>
      <c r="AC24" s="187">
        <v>1</v>
      </c>
      <c r="AD24" s="187">
        <v>1</v>
      </c>
      <c r="AE24" s="187">
        <v>1</v>
      </c>
      <c r="AF24" s="187"/>
      <c r="AG24" s="187">
        <v>1</v>
      </c>
      <c r="AH24" s="187">
        <v>1</v>
      </c>
      <c r="AI24" s="187">
        <v>1</v>
      </c>
      <c r="AJ24" s="187">
        <v>1</v>
      </c>
      <c r="AK24" s="187">
        <v>1</v>
      </c>
      <c r="AL24" s="187">
        <v>1</v>
      </c>
      <c r="AM24" s="187"/>
      <c r="AN24" s="187">
        <v>1</v>
      </c>
      <c r="AO24" s="187">
        <v>1</v>
      </c>
      <c r="AP24" s="187">
        <v>1</v>
      </c>
      <c r="AQ24" s="187">
        <v>1</v>
      </c>
      <c r="AR24" s="187">
        <v>1</v>
      </c>
      <c r="AS24" s="187">
        <v>1</v>
      </c>
      <c r="AT24" s="187"/>
      <c r="AU24" s="383"/>
      <c r="AV24" s="383"/>
      <c r="AW24" s="383"/>
      <c r="AX24" s="179">
        <f t="shared" si="2"/>
        <v>17</v>
      </c>
      <c r="AY24" s="191">
        <f t="shared" si="3"/>
        <v>7100</v>
      </c>
      <c r="AZ24" s="150">
        <f t="shared" si="4"/>
        <v>0</v>
      </c>
      <c r="BA24" s="382"/>
      <c r="BB24" s="382"/>
      <c r="BC24" s="382"/>
      <c r="BD24" s="383"/>
      <c r="BE24" s="382"/>
      <c r="BF24" s="383"/>
      <c r="BG24" s="383"/>
      <c r="BH24" s="383"/>
      <c r="BI24" s="383"/>
      <c r="BJ24" s="383"/>
      <c r="BK24" s="383"/>
      <c r="BL24" s="383"/>
      <c r="BM24" s="383"/>
      <c r="BN24" s="383"/>
      <c r="BO24" s="383"/>
      <c r="BP24" s="383"/>
      <c r="BQ24" s="383"/>
      <c r="BR24" s="383"/>
      <c r="BS24" s="383"/>
      <c r="BT24" s="383"/>
      <c r="BU24" s="179">
        <f t="shared" si="1"/>
        <v>0</v>
      </c>
      <c r="BV24" s="191">
        <f t="shared" si="5"/>
        <v>0</v>
      </c>
    </row>
    <row r="25" spans="2:74" ht="25.8" x14ac:dyDescent="0.65">
      <c r="B25" s="104">
        <v>16</v>
      </c>
      <c r="C25" s="61" t="s">
        <v>123</v>
      </c>
      <c r="D25" s="198">
        <v>50</v>
      </c>
      <c r="E25" s="199" t="s">
        <v>159</v>
      </c>
      <c r="F25" s="199"/>
      <c r="G25" s="200">
        <f>AY34</f>
        <v>159886.66666666669</v>
      </c>
      <c r="H25" s="201" t="s">
        <v>17</v>
      </c>
      <c r="I25" s="171"/>
      <c r="J25" s="175"/>
      <c r="U25" s="179">
        <v>18</v>
      </c>
      <c r="V25" s="175" t="s">
        <v>149</v>
      </c>
      <c r="W25" s="150">
        <v>2200</v>
      </c>
      <c r="X25" s="150">
        <v>200</v>
      </c>
      <c r="Y25" s="150"/>
      <c r="Z25" s="150">
        <f t="shared" si="6"/>
        <v>2000</v>
      </c>
      <c r="AA25" s="179">
        <v>1</v>
      </c>
      <c r="AB25" s="179">
        <v>1</v>
      </c>
      <c r="AC25" s="179">
        <v>1</v>
      </c>
      <c r="AD25" s="179">
        <v>1</v>
      </c>
      <c r="AE25" s="179">
        <v>1</v>
      </c>
      <c r="AF25" s="179"/>
      <c r="AG25" s="179">
        <v>1</v>
      </c>
      <c r="AH25" s="179">
        <v>1</v>
      </c>
      <c r="AI25" s="179">
        <v>1</v>
      </c>
      <c r="AJ25" s="179">
        <v>1</v>
      </c>
      <c r="AK25" s="179">
        <v>1</v>
      </c>
      <c r="AL25" s="179">
        <v>1</v>
      </c>
      <c r="AM25" s="179"/>
      <c r="AN25" s="179">
        <v>1</v>
      </c>
      <c r="AO25" s="179">
        <v>1</v>
      </c>
      <c r="AP25" s="179">
        <v>1</v>
      </c>
      <c r="AQ25" s="179">
        <v>1</v>
      </c>
      <c r="AR25" s="179">
        <v>1</v>
      </c>
      <c r="AS25" s="179">
        <v>1</v>
      </c>
      <c r="AT25" s="179"/>
      <c r="AU25" s="179">
        <v>1</v>
      </c>
      <c r="AV25" s="179">
        <v>1</v>
      </c>
      <c r="AW25" s="179">
        <v>1</v>
      </c>
      <c r="AX25" s="179">
        <f t="shared" si="2"/>
        <v>20</v>
      </c>
      <c r="AY25" s="191">
        <f t="shared" si="3"/>
        <v>6000</v>
      </c>
      <c r="AZ25" s="150">
        <f t="shared" si="4"/>
        <v>1600</v>
      </c>
      <c r="BA25" s="179">
        <v>1</v>
      </c>
      <c r="BB25" s="179">
        <v>1</v>
      </c>
      <c r="BC25" s="179">
        <v>1</v>
      </c>
      <c r="BD25" s="179"/>
      <c r="BE25" s="179">
        <v>1</v>
      </c>
      <c r="BF25" s="179">
        <v>1</v>
      </c>
      <c r="BG25" s="179">
        <v>1</v>
      </c>
      <c r="BH25" s="179">
        <v>1</v>
      </c>
      <c r="BI25" s="179">
        <v>1</v>
      </c>
      <c r="BJ25" s="179">
        <v>1</v>
      </c>
      <c r="BK25" s="179"/>
      <c r="BL25" s="179">
        <v>1</v>
      </c>
      <c r="BM25" s="179">
        <v>1</v>
      </c>
      <c r="BN25" s="179">
        <v>1</v>
      </c>
      <c r="BO25" s="179"/>
      <c r="BP25" s="179">
        <v>1</v>
      </c>
      <c r="BQ25" s="179">
        <v>1</v>
      </c>
      <c r="BR25" s="179"/>
      <c r="BS25" s="179">
        <v>1</v>
      </c>
      <c r="BT25" s="179">
        <v>1</v>
      </c>
      <c r="BU25" s="179">
        <f t="shared" si="1"/>
        <v>16</v>
      </c>
      <c r="BV25" s="191">
        <f t="shared" si="5"/>
        <v>4800</v>
      </c>
    </row>
    <row r="26" spans="2:74" ht="25.8" x14ac:dyDescent="0.65">
      <c r="B26" s="104">
        <v>17</v>
      </c>
      <c r="C26" s="61" t="s">
        <v>124</v>
      </c>
      <c r="D26" s="198">
        <v>50</v>
      </c>
      <c r="E26" s="199" t="s">
        <v>122</v>
      </c>
      <c r="F26" s="199"/>
      <c r="G26" s="200">
        <v>13500</v>
      </c>
      <c r="H26" s="201" t="s">
        <v>17</v>
      </c>
      <c r="I26" s="171" t="s">
        <v>125</v>
      </c>
      <c r="J26" s="175"/>
      <c r="U26" s="179">
        <v>19</v>
      </c>
      <c r="V26" s="175" t="s">
        <v>150</v>
      </c>
      <c r="W26" s="150">
        <v>1440</v>
      </c>
      <c r="X26" s="150">
        <v>180</v>
      </c>
      <c r="Y26" s="150"/>
      <c r="Z26" s="150">
        <f t="shared" si="6"/>
        <v>0</v>
      </c>
      <c r="AA26" s="179">
        <v>1</v>
      </c>
      <c r="AB26" s="179">
        <v>1</v>
      </c>
      <c r="AC26" s="179">
        <v>1</v>
      </c>
      <c r="AD26" s="179">
        <v>1</v>
      </c>
      <c r="AE26" s="179">
        <v>1</v>
      </c>
      <c r="AF26" s="179"/>
      <c r="AG26" s="179">
        <v>1</v>
      </c>
      <c r="AH26" s="179">
        <v>1</v>
      </c>
      <c r="AI26" s="179">
        <v>1</v>
      </c>
      <c r="AJ26" s="179">
        <v>1</v>
      </c>
      <c r="AK26" s="179">
        <v>1</v>
      </c>
      <c r="AL26" s="179">
        <v>1</v>
      </c>
      <c r="AM26" s="179"/>
      <c r="AN26" s="179">
        <v>1</v>
      </c>
      <c r="AO26" s="179">
        <v>1</v>
      </c>
      <c r="AP26" s="179">
        <v>1</v>
      </c>
      <c r="AQ26" s="179">
        <v>1</v>
      </c>
      <c r="AR26" s="179">
        <v>1</v>
      </c>
      <c r="AS26" s="179">
        <v>1</v>
      </c>
      <c r="AT26" s="179"/>
      <c r="AU26" s="179">
        <v>1</v>
      </c>
      <c r="AV26" s="179">
        <v>1</v>
      </c>
      <c r="AW26" s="179">
        <v>1</v>
      </c>
      <c r="AX26" s="179">
        <f t="shared" si="2"/>
        <v>20</v>
      </c>
      <c r="AY26" s="191">
        <f t="shared" si="3"/>
        <v>3600</v>
      </c>
      <c r="AZ26" s="150">
        <f t="shared" si="4"/>
        <v>1600</v>
      </c>
      <c r="BA26" s="179">
        <v>1</v>
      </c>
      <c r="BB26" s="179">
        <v>1</v>
      </c>
      <c r="BC26" s="179">
        <v>1</v>
      </c>
      <c r="BD26" s="179"/>
      <c r="BE26" s="179">
        <v>1</v>
      </c>
      <c r="BF26" s="179">
        <v>1</v>
      </c>
      <c r="BG26" s="179">
        <v>1</v>
      </c>
      <c r="BH26" s="179">
        <v>1</v>
      </c>
      <c r="BI26" s="179">
        <v>1</v>
      </c>
      <c r="BJ26" s="179">
        <v>1</v>
      </c>
      <c r="BK26" s="179"/>
      <c r="BL26" s="179">
        <v>1</v>
      </c>
      <c r="BM26" s="179">
        <v>1</v>
      </c>
      <c r="BN26" s="179">
        <v>1</v>
      </c>
      <c r="BO26" s="179"/>
      <c r="BP26" s="179">
        <v>1</v>
      </c>
      <c r="BQ26" s="179">
        <v>1</v>
      </c>
      <c r="BR26" s="179"/>
      <c r="BS26" s="179">
        <v>1</v>
      </c>
      <c r="BT26" s="179">
        <v>1</v>
      </c>
      <c r="BU26" s="179">
        <f t="shared" si="1"/>
        <v>16</v>
      </c>
      <c r="BV26" s="191">
        <f t="shared" si="5"/>
        <v>4480</v>
      </c>
    </row>
    <row r="27" spans="2:74" ht="25.8" x14ac:dyDescent="0.65">
      <c r="B27" s="104">
        <v>18</v>
      </c>
      <c r="C27" s="61" t="s">
        <v>94</v>
      </c>
      <c r="D27" s="64">
        <v>10</v>
      </c>
      <c r="E27" s="61" t="s">
        <v>127</v>
      </c>
      <c r="F27" s="61" t="s">
        <v>128</v>
      </c>
      <c r="G27" s="70">
        <v>13800</v>
      </c>
      <c r="H27" s="63" t="s">
        <v>17</v>
      </c>
      <c r="I27" s="168">
        <v>45850</v>
      </c>
      <c r="J27" s="175"/>
      <c r="U27" s="179">
        <v>20</v>
      </c>
      <c r="V27" s="175" t="s">
        <v>151</v>
      </c>
      <c r="W27" s="150">
        <v>2160</v>
      </c>
      <c r="X27" s="150">
        <v>180</v>
      </c>
      <c r="Y27" s="150"/>
      <c r="Z27" s="150">
        <f t="shared" si="6"/>
        <v>1500</v>
      </c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>
        <f t="shared" si="2"/>
        <v>0</v>
      </c>
      <c r="AY27" s="191"/>
      <c r="AZ27" s="150">
        <f t="shared" si="4"/>
        <v>0</v>
      </c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>
        <f t="shared" si="1"/>
        <v>0</v>
      </c>
      <c r="BV27" s="191">
        <f t="shared" si="5"/>
        <v>0</v>
      </c>
    </row>
    <row r="28" spans="2:74" ht="25.8" x14ac:dyDescent="0.65">
      <c r="B28" s="104">
        <v>19</v>
      </c>
      <c r="C28" s="61" t="s">
        <v>191</v>
      </c>
      <c r="D28" s="64">
        <v>30</v>
      </c>
      <c r="E28" s="61" t="s">
        <v>192</v>
      </c>
      <c r="F28" s="61" t="s">
        <v>193</v>
      </c>
      <c r="G28" s="70">
        <v>11500</v>
      </c>
      <c r="H28" s="63" t="s">
        <v>17</v>
      </c>
      <c r="I28" s="168">
        <v>45850</v>
      </c>
      <c r="J28" s="175"/>
      <c r="U28" s="179">
        <v>21</v>
      </c>
      <c r="V28" s="175" t="s">
        <v>152</v>
      </c>
      <c r="W28" s="150">
        <v>1980</v>
      </c>
      <c r="X28" s="150">
        <v>180</v>
      </c>
      <c r="Y28" s="150"/>
      <c r="Z28" s="150">
        <f t="shared" si="6"/>
        <v>0</v>
      </c>
      <c r="AA28" s="179"/>
      <c r="AB28" s="179"/>
      <c r="AC28" s="179"/>
      <c r="AD28" s="179"/>
      <c r="AE28" s="179"/>
      <c r="AF28" s="179"/>
      <c r="AG28" s="179">
        <v>1</v>
      </c>
      <c r="AH28" s="179">
        <v>1</v>
      </c>
      <c r="AI28" s="179">
        <v>1</v>
      </c>
      <c r="AJ28" s="179">
        <v>1</v>
      </c>
      <c r="AK28" s="179">
        <v>1</v>
      </c>
      <c r="AL28" s="179">
        <v>1</v>
      </c>
      <c r="AM28" s="179"/>
      <c r="AN28" s="179">
        <v>1</v>
      </c>
      <c r="AO28" s="179">
        <v>1</v>
      </c>
      <c r="AP28" s="179">
        <v>1</v>
      </c>
      <c r="AQ28" s="179">
        <v>1</v>
      </c>
      <c r="AR28" s="179">
        <v>1</v>
      </c>
      <c r="AS28" s="179">
        <v>1</v>
      </c>
      <c r="AT28" s="179"/>
      <c r="AU28" s="179">
        <v>1</v>
      </c>
      <c r="AV28" s="179">
        <v>1</v>
      </c>
      <c r="AW28" s="179">
        <v>1</v>
      </c>
      <c r="AX28" s="179">
        <f t="shared" si="2"/>
        <v>15</v>
      </c>
      <c r="AY28" s="191">
        <f t="shared" si="3"/>
        <v>2700</v>
      </c>
      <c r="AZ28" s="150">
        <f t="shared" si="4"/>
        <v>1600</v>
      </c>
      <c r="BA28" s="179">
        <v>1</v>
      </c>
      <c r="BB28" s="179">
        <v>1</v>
      </c>
      <c r="BC28" s="179">
        <v>1</v>
      </c>
      <c r="BD28" s="179"/>
      <c r="BE28" s="179">
        <v>1</v>
      </c>
      <c r="BF28" s="179">
        <v>1</v>
      </c>
      <c r="BG28" s="179">
        <v>1</v>
      </c>
      <c r="BH28" s="179">
        <v>1</v>
      </c>
      <c r="BI28" s="179">
        <v>1</v>
      </c>
      <c r="BJ28" s="179">
        <v>1</v>
      </c>
      <c r="BK28" s="179"/>
      <c r="BL28" s="179">
        <v>1</v>
      </c>
      <c r="BM28" s="179">
        <v>1</v>
      </c>
      <c r="BN28" s="179">
        <v>1</v>
      </c>
      <c r="BO28" s="179"/>
      <c r="BP28" s="179">
        <v>1</v>
      </c>
      <c r="BQ28" s="179">
        <v>1</v>
      </c>
      <c r="BR28" s="179"/>
      <c r="BS28" s="179">
        <v>1</v>
      </c>
      <c r="BT28" s="179">
        <v>1</v>
      </c>
      <c r="BU28" s="179">
        <f t="shared" si="1"/>
        <v>16</v>
      </c>
      <c r="BV28" s="191">
        <f t="shared" si="5"/>
        <v>4480</v>
      </c>
    </row>
    <row r="29" spans="2:74" ht="25.8" x14ac:dyDescent="0.65">
      <c r="B29" s="104">
        <v>20</v>
      </c>
      <c r="C29" s="61" t="s">
        <v>244</v>
      </c>
      <c r="D29" s="64">
        <v>10</v>
      </c>
      <c r="E29" s="61" t="s">
        <v>245</v>
      </c>
      <c r="F29" s="61" t="s">
        <v>246</v>
      </c>
      <c r="G29" s="70">
        <v>2310</v>
      </c>
      <c r="H29" s="63" t="s">
        <v>17</v>
      </c>
      <c r="I29" s="168">
        <v>45850</v>
      </c>
      <c r="J29" s="175"/>
      <c r="U29" s="179">
        <v>22</v>
      </c>
      <c r="V29" s="175" t="s">
        <v>153</v>
      </c>
      <c r="W29" s="150">
        <v>1440</v>
      </c>
      <c r="X29" s="150">
        <v>180</v>
      </c>
      <c r="Y29" s="150"/>
      <c r="Z29" s="150">
        <f t="shared" si="6"/>
        <v>0</v>
      </c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  <c r="AW29" s="179"/>
      <c r="AX29" s="179">
        <f t="shared" si="2"/>
        <v>0</v>
      </c>
      <c r="AY29" s="191"/>
      <c r="AZ29" s="150">
        <f t="shared" si="4"/>
        <v>0</v>
      </c>
      <c r="BA29" s="179"/>
      <c r="BB29" s="179"/>
      <c r="BC29" s="179"/>
      <c r="BD29" s="179"/>
      <c r="BE29" s="179"/>
      <c r="BF29" s="179"/>
      <c r="BG29" s="179"/>
      <c r="BH29" s="179"/>
      <c r="BI29" s="179"/>
      <c r="BJ29" s="179"/>
      <c r="BK29" s="179"/>
      <c r="BL29" s="179"/>
      <c r="BM29" s="179"/>
      <c r="BN29" s="179"/>
      <c r="BO29" s="179"/>
      <c r="BP29" s="179"/>
      <c r="BQ29" s="179"/>
      <c r="BR29" s="179"/>
      <c r="BS29" s="179"/>
      <c r="BT29" s="179"/>
      <c r="BU29" s="179">
        <f t="shared" si="1"/>
        <v>0</v>
      </c>
      <c r="BV29" s="191">
        <f t="shared" si="5"/>
        <v>0</v>
      </c>
    </row>
    <row r="30" spans="2:74" ht="25.8" x14ac:dyDescent="0.65">
      <c r="B30" s="104">
        <v>21</v>
      </c>
      <c r="C30" s="61" t="s">
        <v>258</v>
      </c>
      <c r="D30" s="64">
        <v>10</v>
      </c>
      <c r="E30" s="61" t="s">
        <v>259</v>
      </c>
      <c r="F30" s="61"/>
      <c r="G30" s="70">
        <v>799</v>
      </c>
      <c r="H30" s="63" t="s">
        <v>17</v>
      </c>
      <c r="I30" s="168">
        <v>45850</v>
      </c>
      <c r="J30" s="175"/>
      <c r="U30" s="179">
        <v>23</v>
      </c>
      <c r="V30" s="175" t="s">
        <v>154</v>
      </c>
      <c r="W30" s="150">
        <v>2160</v>
      </c>
      <c r="X30" s="150">
        <v>180</v>
      </c>
      <c r="Y30" s="150"/>
      <c r="Z30" s="150">
        <f t="shared" si="6"/>
        <v>1500</v>
      </c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79"/>
      <c r="AQ30" s="179"/>
      <c r="AR30" s="179"/>
      <c r="AS30" s="179"/>
      <c r="AT30" s="179"/>
      <c r="AU30" s="179"/>
      <c r="AV30" s="179"/>
      <c r="AW30" s="179"/>
      <c r="AX30" s="179">
        <f t="shared" si="2"/>
        <v>0</v>
      </c>
      <c r="AY30" s="191"/>
      <c r="AZ30" s="150">
        <f t="shared" si="4"/>
        <v>0</v>
      </c>
      <c r="BA30" s="179"/>
      <c r="BB30" s="179"/>
      <c r="BC30" s="179"/>
      <c r="BD30" s="179"/>
      <c r="BE30" s="179"/>
      <c r="BF30" s="179"/>
      <c r="BG30" s="179"/>
      <c r="BH30" s="179"/>
      <c r="BI30" s="179"/>
      <c r="BJ30" s="179"/>
      <c r="BK30" s="179"/>
      <c r="BL30" s="179"/>
      <c r="BM30" s="179"/>
      <c r="BN30" s="179"/>
      <c r="BO30" s="179"/>
      <c r="BP30" s="179"/>
      <c r="BQ30" s="179"/>
      <c r="BR30" s="179"/>
      <c r="BS30" s="179"/>
      <c r="BT30" s="179"/>
      <c r="BU30" s="179">
        <f t="shared" si="1"/>
        <v>0</v>
      </c>
      <c r="BV30" s="191">
        <f t="shared" si="5"/>
        <v>0</v>
      </c>
    </row>
    <row r="31" spans="2:74" ht="25.8" x14ac:dyDescent="0.65">
      <c r="B31" s="104">
        <v>22</v>
      </c>
      <c r="C31" s="61" t="s">
        <v>98</v>
      </c>
      <c r="D31" s="64">
        <v>10</v>
      </c>
      <c r="E31" s="61" t="s">
        <v>265</v>
      </c>
      <c r="F31" s="61"/>
      <c r="G31" s="70">
        <v>450</v>
      </c>
      <c r="H31" s="63" t="s">
        <v>17</v>
      </c>
      <c r="I31" s="168">
        <v>45850</v>
      </c>
      <c r="J31" s="175"/>
      <c r="U31" s="179">
        <v>24</v>
      </c>
      <c r="V31" s="175" t="s">
        <v>155</v>
      </c>
      <c r="W31" s="150">
        <v>1980</v>
      </c>
      <c r="X31" s="150">
        <v>180</v>
      </c>
      <c r="Y31" s="150"/>
      <c r="Z31" s="150">
        <f t="shared" si="6"/>
        <v>0</v>
      </c>
      <c r="AA31" s="179"/>
      <c r="AB31" s="179"/>
      <c r="AC31" s="179"/>
      <c r="AD31" s="179"/>
      <c r="AE31" s="179"/>
      <c r="AF31" s="179"/>
      <c r="AG31" s="179">
        <v>1</v>
      </c>
      <c r="AH31" s="179">
        <v>1</v>
      </c>
      <c r="AI31" s="179">
        <v>1</v>
      </c>
      <c r="AJ31" s="179">
        <v>1</v>
      </c>
      <c r="AK31" s="179">
        <v>1</v>
      </c>
      <c r="AL31" s="179">
        <v>1</v>
      </c>
      <c r="AM31" s="179"/>
      <c r="AN31" s="179">
        <v>1</v>
      </c>
      <c r="AO31" s="179">
        <v>1</v>
      </c>
      <c r="AP31" s="179">
        <v>1</v>
      </c>
      <c r="AQ31" s="179">
        <v>1</v>
      </c>
      <c r="AR31" s="179">
        <v>1</v>
      </c>
      <c r="AS31" s="179">
        <v>1</v>
      </c>
      <c r="AT31" s="179"/>
      <c r="AU31" s="179">
        <v>1</v>
      </c>
      <c r="AV31" s="179">
        <v>1</v>
      </c>
      <c r="AW31" s="179">
        <v>1</v>
      </c>
      <c r="AX31" s="179">
        <f t="shared" si="2"/>
        <v>15</v>
      </c>
      <c r="AY31" s="191">
        <f t="shared" si="3"/>
        <v>2700</v>
      </c>
      <c r="AZ31" s="150">
        <f t="shared" si="4"/>
        <v>300</v>
      </c>
      <c r="BA31" s="179">
        <v>1</v>
      </c>
      <c r="BB31" s="179">
        <v>1</v>
      </c>
      <c r="BC31" s="179">
        <v>1</v>
      </c>
      <c r="BD31" s="179"/>
      <c r="BE31" s="179"/>
      <c r="BF31" s="179"/>
      <c r="BG31" s="179"/>
      <c r="BH31" s="179"/>
      <c r="BI31" s="179"/>
      <c r="BJ31" s="179"/>
      <c r="BK31" s="179"/>
      <c r="BL31" s="179"/>
      <c r="BM31" s="179"/>
      <c r="BN31" s="179"/>
      <c r="BO31" s="179"/>
      <c r="BP31" s="179"/>
      <c r="BQ31" s="179"/>
      <c r="BR31" s="179"/>
      <c r="BS31" s="179"/>
      <c r="BT31" s="179"/>
      <c r="BU31" s="179">
        <f t="shared" si="1"/>
        <v>3</v>
      </c>
      <c r="BV31" s="191">
        <f t="shared" si="5"/>
        <v>840</v>
      </c>
    </row>
    <row r="32" spans="2:74" ht="26.4" thickBot="1" x14ac:dyDescent="0.7">
      <c r="B32" s="104">
        <v>23</v>
      </c>
      <c r="C32" s="61" t="s">
        <v>98</v>
      </c>
      <c r="D32" s="64">
        <v>10</v>
      </c>
      <c r="E32" s="61" t="s">
        <v>265</v>
      </c>
      <c r="F32" s="61"/>
      <c r="G32" s="70">
        <v>320</v>
      </c>
      <c r="H32" s="63" t="s">
        <v>17</v>
      </c>
      <c r="I32" s="168">
        <v>45850</v>
      </c>
      <c r="J32" s="175"/>
      <c r="AY32" s="192">
        <f>SUM(AY8:AY31)</f>
        <v>97170</v>
      </c>
      <c r="AZ32" s="384"/>
      <c r="BV32" s="192">
        <f>SUM(BV8:BV31)</f>
        <v>62716.666666666672</v>
      </c>
    </row>
    <row r="33" spans="2:52" ht="26.4" thickTop="1" x14ac:dyDescent="0.65">
      <c r="B33" s="104">
        <v>24</v>
      </c>
      <c r="C33" s="61" t="s">
        <v>267</v>
      </c>
      <c r="D33" s="64">
        <v>10</v>
      </c>
      <c r="E33" s="61" t="s">
        <v>266</v>
      </c>
      <c r="F33" s="61"/>
      <c r="G33" s="70">
        <v>15000</v>
      </c>
      <c r="H33" s="63" t="s">
        <v>17</v>
      </c>
      <c r="I33" s="168">
        <v>45850</v>
      </c>
      <c r="J33" s="175"/>
      <c r="O33">
        <v>38060.9375</v>
      </c>
      <c r="P33" s="149">
        <v>38060.9375</v>
      </c>
      <c r="Q33">
        <v>2013814174</v>
      </c>
      <c r="R33" t="s">
        <v>247</v>
      </c>
    </row>
    <row r="34" spans="2:52" ht="26.4" thickBot="1" x14ac:dyDescent="0.7">
      <c r="B34" s="104">
        <v>25</v>
      </c>
      <c r="C34" s="61"/>
      <c r="D34" s="64">
        <v>70</v>
      </c>
      <c r="E34" s="61" t="s">
        <v>268</v>
      </c>
      <c r="F34" s="61"/>
      <c r="G34" s="70">
        <v>5610</v>
      </c>
      <c r="H34" s="63" t="s">
        <v>17</v>
      </c>
      <c r="I34" s="168">
        <v>45850</v>
      </c>
      <c r="J34" s="175"/>
      <c r="O34">
        <v>20268.75</v>
      </c>
      <c r="P34" s="149">
        <v>20268.75</v>
      </c>
      <c r="Q34">
        <v>1152673074</v>
      </c>
      <c r="R34" t="s">
        <v>248</v>
      </c>
      <c r="AY34" s="381">
        <f>AY32+BV32</f>
        <v>159886.66666666669</v>
      </c>
      <c r="AZ34" s="385"/>
    </row>
    <row r="35" spans="2:52" ht="26.4" thickTop="1" x14ac:dyDescent="0.65">
      <c r="B35" s="104">
        <v>26</v>
      </c>
      <c r="C35" s="61"/>
      <c r="D35" s="387">
        <v>20</v>
      </c>
      <c r="E35" s="160" t="s">
        <v>260</v>
      </c>
      <c r="F35" s="160"/>
      <c r="G35" s="386">
        <v>15000</v>
      </c>
      <c r="H35" s="161" t="s">
        <v>17</v>
      </c>
      <c r="I35" s="172" t="s">
        <v>261</v>
      </c>
      <c r="J35" s="175"/>
      <c r="O35">
        <v>17275</v>
      </c>
      <c r="P35" s="149">
        <v>17275</v>
      </c>
      <c r="Q35">
        <v>1951329262</v>
      </c>
      <c r="R35" t="s">
        <v>249</v>
      </c>
    </row>
    <row r="36" spans="2:52" ht="25.8" x14ac:dyDescent="0.65">
      <c r="B36" s="104">
        <v>27</v>
      </c>
      <c r="C36" s="61"/>
      <c r="D36" s="387">
        <v>20</v>
      </c>
      <c r="E36" s="160" t="s">
        <v>272</v>
      </c>
      <c r="F36" s="61"/>
      <c r="G36" s="386">
        <v>5000</v>
      </c>
      <c r="H36" s="161" t="s">
        <v>17</v>
      </c>
      <c r="I36" s="168">
        <v>45850</v>
      </c>
      <c r="J36" s="175"/>
      <c r="O36">
        <v>6693.75</v>
      </c>
      <c r="P36" s="149">
        <v>6693.75</v>
      </c>
      <c r="Q36" t="s">
        <v>250</v>
      </c>
      <c r="R36" t="s">
        <v>251</v>
      </c>
    </row>
    <row r="37" spans="2:52" ht="25.8" x14ac:dyDescent="0.65">
      <c r="B37" s="104">
        <v>28</v>
      </c>
      <c r="C37" s="160"/>
      <c r="D37" s="387">
        <v>70</v>
      </c>
      <c r="E37" s="160" t="s">
        <v>273</v>
      </c>
      <c r="F37" s="160"/>
      <c r="G37" s="386">
        <v>7000</v>
      </c>
      <c r="H37" s="161" t="s">
        <v>17</v>
      </c>
      <c r="I37" s="168">
        <v>45850</v>
      </c>
      <c r="J37" s="175"/>
      <c r="N37">
        <v>2</v>
      </c>
      <c r="O37">
        <v>6671.875</v>
      </c>
      <c r="P37" s="149">
        <v>13343.75</v>
      </c>
      <c r="Q37" t="s">
        <v>252</v>
      </c>
      <c r="R37" t="s">
        <v>253</v>
      </c>
    </row>
    <row r="38" spans="2:52" ht="25.8" x14ac:dyDescent="0.65">
      <c r="B38" s="104">
        <v>29</v>
      </c>
      <c r="C38" s="61" t="s">
        <v>38</v>
      </c>
      <c r="D38" s="64">
        <v>10</v>
      </c>
      <c r="E38" s="61" t="s">
        <v>274</v>
      </c>
      <c r="F38" s="61"/>
      <c r="G38" s="70">
        <v>3104.81</v>
      </c>
      <c r="H38" s="63" t="s">
        <v>17</v>
      </c>
      <c r="I38" s="168">
        <v>45850</v>
      </c>
      <c r="J38" s="175"/>
      <c r="N38">
        <v>2</v>
      </c>
      <c r="O38">
        <v>5322.5</v>
      </c>
      <c r="P38" s="149">
        <v>10645</v>
      </c>
      <c r="Q38" t="s">
        <v>254</v>
      </c>
      <c r="R38" t="s">
        <v>255</v>
      </c>
    </row>
    <row r="39" spans="2:52" ht="25.8" x14ac:dyDescent="0.65">
      <c r="B39" s="104">
        <v>30</v>
      </c>
      <c r="C39" s="61" t="s">
        <v>279</v>
      </c>
      <c r="D39" s="64">
        <v>10</v>
      </c>
      <c r="E39" s="61" t="s">
        <v>278</v>
      </c>
      <c r="F39" s="61"/>
      <c r="G39" s="70">
        <v>4080</v>
      </c>
      <c r="H39" s="63" t="s">
        <v>17</v>
      </c>
      <c r="I39" s="168">
        <v>45850</v>
      </c>
      <c r="J39" s="175"/>
      <c r="N39">
        <v>2</v>
      </c>
      <c r="O39">
        <v>3315</v>
      </c>
      <c r="P39" s="149">
        <v>6630</v>
      </c>
      <c r="Q39">
        <v>2048224310</v>
      </c>
      <c r="R39" t="s">
        <v>256</v>
      </c>
    </row>
    <row r="40" spans="2:52" ht="25.8" x14ac:dyDescent="0.65">
      <c r="B40" s="104">
        <v>31</v>
      </c>
      <c r="C40" s="61" t="s">
        <v>98</v>
      </c>
      <c r="D40" s="64">
        <v>10</v>
      </c>
      <c r="E40" s="47" t="s">
        <v>280</v>
      </c>
      <c r="F40" s="47"/>
      <c r="G40" s="391">
        <v>186.92</v>
      </c>
      <c r="H40" s="63" t="s">
        <v>17</v>
      </c>
      <c r="I40" s="168">
        <v>45850</v>
      </c>
      <c r="J40" s="175"/>
      <c r="N40">
        <v>2</v>
      </c>
      <c r="O40">
        <v>4502.75</v>
      </c>
      <c r="P40" s="149">
        <v>9005.5</v>
      </c>
      <c r="Q40">
        <v>2093776650</v>
      </c>
      <c r="R40" t="s">
        <v>257</v>
      </c>
    </row>
    <row r="41" spans="2:52" ht="26.4" thickBot="1" x14ac:dyDescent="0.7">
      <c r="B41" s="104">
        <v>32</v>
      </c>
      <c r="C41" s="61" t="s">
        <v>98</v>
      </c>
      <c r="D41" s="64">
        <v>10</v>
      </c>
      <c r="E41" s="47" t="s">
        <v>281</v>
      </c>
      <c r="F41" s="47"/>
      <c r="G41" s="391">
        <v>112.5</v>
      </c>
      <c r="H41" s="63" t="s">
        <v>17</v>
      </c>
      <c r="I41" s="168">
        <v>45850</v>
      </c>
      <c r="J41" s="175"/>
      <c r="P41" s="380">
        <v>121922.6875</v>
      </c>
    </row>
    <row r="42" spans="2:52" ht="26.4" thickTop="1" x14ac:dyDescent="0.65">
      <c r="B42" s="104">
        <v>33</v>
      </c>
      <c r="C42" s="61" t="s">
        <v>98</v>
      </c>
      <c r="D42" s="64">
        <v>10</v>
      </c>
      <c r="E42" s="47" t="s">
        <v>282</v>
      </c>
      <c r="F42" s="47"/>
      <c r="G42" s="391">
        <v>420.56</v>
      </c>
      <c r="H42" s="63" t="s">
        <v>17</v>
      </c>
      <c r="I42" s="168">
        <v>45850</v>
      </c>
      <c r="J42" s="175"/>
      <c r="P42" s="149"/>
    </row>
    <row r="43" spans="2:52" ht="25.8" x14ac:dyDescent="0.65">
      <c r="B43" s="104">
        <v>34</v>
      </c>
      <c r="C43" s="61" t="s">
        <v>258</v>
      </c>
      <c r="D43" s="64">
        <v>10</v>
      </c>
      <c r="E43" s="47" t="s">
        <v>283</v>
      </c>
      <c r="F43" s="47"/>
      <c r="G43" s="391">
        <v>1869.16</v>
      </c>
      <c r="H43" s="63" t="s">
        <v>17</v>
      </c>
      <c r="I43" s="168">
        <v>45850</v>
      </c>
      <c r="J43" s="175"/>
    </row>
    <row r="44" spans="2:52" ht="25.8" x14ac:dyDescent="0.65">
      <c r="B44" s="104">
        <v>35</v>
      </c>
      <c r="C44" s="47"/>
      <c r="D44" s="64">
        <v>10</v>
      </c>
      <c r="E44" s="47" t="s">
        <v>284</v>
      </c>
      <c r="F44" s="47"/>
      <c r="G44" s="391">
        <v>6000</v>
      </c>
      <c r="H44" s="63" t="s">
        <v>17</v>
      </c>
      <c r="I44" s="168">
        <v>45859</v>
      </c>
      <c r="J44" s="175"/>
    </row>
    <row r="45" spans="2:52" ht="25.8" x14ac:dyDescent="0.65">
      <c r="B45" s="104">
        <v>36</v>
      </c>
      <c r="C45" s="47"/>
      <c r="D45" s="64">
        <v>10</v>
      </c>
      <c r="E45" s="47" t="s">
        <v>290</v>
      </c>
      <c r="F45" s="47"/>
      <c r="G45" s="391">
        <v>11800</v>
      </c>
      <c r="H45" s="63" t="s">
        <v>17</v>
      </c>
      <c r="I45" s="168">
        <v>45852</v>
      </c>
      <c r="J45" s="175"/>
    </row>
    <row r="46" spans="2:52" ht="25.8" x14ac:dyDescent="0.65">
      <c r="B46" s="104">
        <v>37</v>
      </c>
      <c r="C46" s="47" t="s">
        <v>291</v>
      </c>
      <c r="D46" s="64">
        <v>20</v>
      </c>
      <c r="E46" s="47" t="s">
        <v>293</v>
      </c>
      <c r="F46" s="47"/>
      <c r="G46" s="391">
        <v>6000</v>
      </c>
      <c r="H46" s="63" t="s">
        <v>17</v>
      </c>
      <c r="I46" s="168">
        <v>45860</v>
      </c>
      <c r="J46" s="175"/>
    </row>
    <row r="47" spans="2:52" ht="25.8" x14ac:dyDescent="0.65">
      <c r="B47" s="104">
        <v>38</v>
      </c>
      <c r="C47" s="47"/>
      <c r="D47" s="387">
        <v>20</v>
      </c>
      <c r="E47" s="160" t="s">
        <v>292</v>
      </c>
      <c r="F47" s="61"/>
      <c r="G47" s="386">
        <v>5000</v>
      </c>
      <c r="H47" s="161" t="s">
        <v>17</v>
      </c>
      <c r="I47" s="168">
        <v>45850</v>
      </c>
      <c r="J47" s="175"/>
    </row>
    <row r="48" spans="2:52" ht="25.8" x14ac:dyDescent="0.65">
      <c r="B48" s="104">
        <v>39</v>
      </c>
      <c r="C48" s="47"/>
      <c r="D48" s="64"/>
      <c r="E48" s="47"/>
      <c r="F48" s="47"/>
      <c r="G48" s="391"/>
      <c r="H48" s="48"/>
      <c r="I48" s="168"/>
      <c r="J48" s="175"/>
    </row>
    <row r="49" spans="2:10" ht="25.8" x14ac:dyDescent="0.65">
      <c r="B49" s="104"/>
      <c r="C49" s="47"/>
      <c r="D49" s="64"/>
      <c r="E49" s="47"/>
      <c r="F49" s="47"/>
      <c r="G49" s="391"/>
      <c r="H49" s="48"/>
      <c r="I49" s="168"/>
      <c r="J49" s="175"/>
    </row>
    <row r="50" spans="2:10" ht="25.8" x14ac:dyDescent="0.65">
      <c r="B50" s="104"/>
      <c r="C50" s="47"/>
      <c r="D50" s="64"/>
      <c r="E50" s="47"/>
      <c r="F50" s="47"/>
      <c r="G50" s="391"/>
      <c r="H50" s="48"/>
      <c r="I50" s="168"/>
      <c r="J50" s="175"/>
    </row>
    <row r="51" spans="2:10" ht="25.8" x14ac:dyDescent="0.65">
      <c r="B51" s="104"/>
      <c r="C51" s="47"/>
      <c r="D51" s="64"/>
      <c r="E51" s="47"/>
      <c r="F51" s="47"/>
      <c r="G51" s="391"/>
      <c r="H51" s="48"/>
      <c r="I51" s="168"/>
      <c r="J51" s="175"/>
    </row>
    <row r="52" spans="2:10" ht="25.8" x14ac:dyDescent="0.65">
      <c r="B52" s="104"/>
      <c r="C52" s="47"/>
      <c r="D52" s="64"/>
      <c r="E52" s="47"/>
      <c r="F52" s="47"/>
      <c r="G52" s="391"/>
      <c r="H52" s="48"/>
      <c r="I52" s="168"/>
      <c r="J52" s="175"/>
    </row>
    <row r="53" spans="2:10" ht="25.8" x14ac:dyDescent="0.65">
      <c r="B53" s="104"/>
      <c r="C53" s="47"/>
      <c r="D53" s="64"/>
      <c r="E53" s="47"/>
      <c r="F53" s="47"/>
      <c r="G53" s="391"/>
      <c r="H53" s="48"/>
      <c r="I53" s="168"/>
      <c r="J53" s="175"/>
    </row>
    <row r="54" spans="2:10" ht="25.8" x14ac:dyDescent="0.65">
      <c r="B54" s="104"/>
      <c r="C54" s="47"/>
      <c r="D54" s="64"/>
      <c r="E54" s="47"/>
      <c r="F54" s="47"/>
      <c r="G54" s="391"/>
      <c r="H54" s="48"/>
      <c r="I54" s="168"/>
      <c r="J54" s="175"/>
    </row>
    <row r="55" spans="2:10" ht="25.8" x14ac:dyDescent="0.65">
      <c r="B55" s="104"/>
      <c r="C55" s="47"/>
      <c r="D55" s="64"/>
      <c r="E55" s="47"/>
      <c r="F55" s="47"/>
      <c r="G55" s="391"/>
      <c r="H55" s="48"/>
      <c r="I55" s="168"/>
      <c r="J55" s="175"/>
    </row>
    <row r="56" spans="2:10" ht="25.8" x14ac:dyDescent="0.65">
      <c r="B56" s="31"/>
      <c r="C56" s="47"/>
      <c r="D56" s="64"/>
      <c r="E56" s="47"/>
      <c r="F56" s="47"/>
      <c r="G56" s="49"/>
      <c r="H56" s="48"/>
      <c r="I56" s="168"/>
      <c r="J56" s="175"/>
    </row>
    <row r="57" spans="2:10" ht="25.8" x14ac:dyDescent="0.65">
      <c r="B57" s="31"/>
      <c r="C57" s="47"/>
      <c r="D57" s="64"/>
      <c r="E57" s="47"/>
      <c r="F57" s="47"/>
      <c r="G57" s="49"/>
      <c r="H57" s="48"/>
      <c r="I57" s="168"/>
      <c r="J57" s="175"/>
    </row>
    <row r="58" spans="2:10" ht="18" x14ac:dyDescent="0.45">
      <c r="B58" s="7"/>
      <c r="C58" s="12"/>
      <c r="D58" s="9"/>
      <c r="E58" s="9"/>
      <c r="F58" s="32" t="s">
        <v>18</v>
      </c>
      <c r="G58" s="33">
        <f>SUM(G9:G57)</f>
        <v>1359250.2266666666</v>
      </c>
      <c r="H58" s="12"/>
      <c r="I58" s="7"/>
    </row>
    <row r="59" spans="2:10" ht="18" x14ac:dyDescent="0.45">
      <c r="B59" s="7"/>
      <c r="C59" s="12"/>
      <c r="D59" s="9"/>
      <c r="E59" s="9"/>
      <c r="F59" s="34" t="s">
        <v>19</v>
      </c>
      <c r="G59" s="35">
        <f>$C$6-G58</f>
        <v>37749.773333333433</v>
      </c>
      <c r="H59" s="12"/>
      <c r="I59" s="7"/>
    </row>
    <row r="60" spans="2:10" ht="18" x14ac:dyDescent="0.45">
      <c r="B60" s="7"/>
      <c r="C60" s="12"/>
      <c r="D60" s="9"/>
      <c r="E60" s="9"/>
      <c r="F60" s="12"/>
      <c r="G60" s="12"/>
      <c r="H60" s="12"/>
      <c r="I60" s="7"/>
    </row>
    <row r="61" spans="2:10" ht="18" x14ac:dyDescent="0.45">
      <c r="B61" s="7"/>
      <c r="C61" s="12"/>
      <c r="D61" s="9"/>
      <c r="E61" s="9"/>
      <c r="F61" s="36" t="s">
        <v>20</v>
      </c>
      <c r="G61" s="37">
        <f>G59/C6</f>
        <v>2.7022028155571535E-2</v>
      </c>
      <c r="H61" s="38"/>
      <c r="I61" s="7"/>
    </row>
    <row r="62" spans="2:10" ht="26.4" x14ac:dyDescent="0.55000000000000004">
      <c r="B62" s="4"/>
      <c r="C62" s="11"/>
      <c r="D62" s="9"/>
      <c r="E62" s="10"/>
      <c r="F62" s="10"/>
      <c r="G62" s="3"/>
      <c r="H62" s="7"/>
      <c r="I62" s="7"/>
    </row>
    <row r="63" spans="2:10" ht="26.4" x14ac:dyDescent="0.55000000000000004">
      <c r="B63" s="143" t="s">
        <v>79</v>
      </c>
      <c r="C63" s="164" t="str">
        <f>'All Job balance report'!B8</f>
        <v>SUT-2500/001</v>
      </c>
      <c r="D63" s="12"/>
      <c r="E63" s="13"/>
      <c r="F63" s="10"/>
      <c r="G63" s="3"/>
      <c r="H63" s="7"/>
      <c r="I63" s="7"/>
    </row>
    <row r="64" spans="2:10" ht="22.2" x14ac:dyDescent="0.55000000000000004">
      <c r="B64" s="82" t="s">
        <v>7</v>
      </c>
      <c r="C64" s="85">
        <f>'All Job balance report'!G8</f>
        <v>37500</v>
      </c>
      <c r="D64" s="15"/>
      <c r="E64" s="17"/>
      <c r="F64" s="18"/>
      <c r="G64" s="18"/>
      <c r="H64" s="18"/>
      <c r="I64" s="18"/>
    </row>
    <row r="65" spans="2:16" x14ac:dyDescent="0.25">
      <c r="B65" s="557" t="s">
        <v>23</v>
      </c>
      <c r="C65" s="557" t="s">
        <v>28</v>
      </c>
      <c r="D65" s="559"/>
      <c r="E65" s="555" t="s">
        <v>13</v>
      </c>
      <c r="F65" s="555" t="s">
        <v>54</v>
      </c>
      <c r="G65" s="555" t="s">
        <v>55</v>
      </c>
      <c r="H65" s="555" t="s">
        <v>56</v>
      </c>
      <c r="I65" s="555" t="s">
        <v>57</v>
      </c>
    </row>
    <row r="66" spans="2:16" x14ac:dyDescent="0.25">
      <c r="B66" s="558"/>
      <c r="C66" s="558"/>
      <c r="D66" s="560"/>
      <c r="E66" s="555"/>
      <c r="F66" s="555"/>
      <c r="G66" s="555"/>
      <c r="H66" s="555"/>
      <c r="I66" s="555"/>
      <c r="P66" s="379"/>
    </row>
    <row r="67" spans="2:16" ht="20.399999999999999" x14ac:dyDescent="0.3">
      <c r="B67" s="73">
        <v>1</v>
      </c>
      <c r="C67" s="77">
        <v>10</v>
      </c>
      <c r="D67" s="77"/>
      <c r="E67" s="83" t="s">
        <v>25</v>
      </c>
      <c r="F67" s="86">
        <v>1200000</v>
      </c>
      <c r="G67" s="94">
        <f>SUMIF($D$10:$D$57,$C$67,$G$10:$G$57)</f>
        <v>1095332.0599999998</v>
      </c>
      <c r="H67" s="96">
        <f>F67-G67</f>
        <v>104667.94000000018</v>
      </c>
      <c r="I67" s="84"/>
      <c r="P67" s="379"/>
    </row>
    <row r="68" spans="2:16" ht="20.399999999999999" x14ac:dyDescent="0.35">
      <c r="B68" s="74">
        <v>2</v>
      </c>
      <c r="C68" s="80">
        <v>20</v>
      </c>
      <c r="D68" s="80"/>
      <c r="E68" s="83" t="s">
        <v>26</v>
      </c>
      <c r="F68" s="87">
        <v>10000</v>
      </c>
      <c r="G68" s="94">
        <f>SUMIF($D$10:$D$57,$C$68,$G$10:$G$57)</f>
        <v>39800</v>
      </c>
      <c r="H68" s="96">
        <f t="shared" ref="H68:H74" si="7">F68-G68</f>
        <v>-29800</v>
      </c>
      <c r="I68" s="84"/>
      <c r="P68" s="379"/>
    </row>
    <row r="69" spans="2:16" ht="20.399999999999999" x14ac:dyDescent="0.35">
      <c r="B69" s="75">
        <v>3</v>
      </c>
      <c r="C69" s="80">
        <v>30</v>
      </c>
      <c r="D69" s="80"/>
      <c r="E69" s="83" t="s">
        <v>48</v>
      </c>
      <c r="F69" s="87">
        <v>97000</v>
      </c>
      <c r="G69" s="94">
        <f>SUMIF($D$10:$D$57,$C$69,$G$10:$G$57)</f>
        <v>37000</v>
      </c>
      <c r="H69" s="96">
        <f t="shared" si="7"/>
        <v>60000</v>
      </c>
      <c r="I69" s="81"/>
      <c r="P69" s="379"/>
    </row>
    <row r="70" spans="2:16" ht="20.399999999999999" x14ac:dyDescent="0.35">
      <c r="B70" s="75">
        <v>4</v>
      </c>
      <c r="C70" s="80">
        <v>40</v>
      </c>
      <c r="D70" s="80"/>
      <c r="E70" s="83" t="s">
        <v>49</v>
      </c>
      <c r="F70" s="87">
        <v>0</v>
      </c>
      <c r="G70" s="94">
        <f>SUMIF($D$10:$D$57,$C$70,$G$10:$G$57)</f>
        <v>1121.5</v>
      </c>
      <c r="H70" s="96">
        <f t="shared" si="7"/>
        <v>-1121.5</v>
      </c>
      <c r="I70" s="81"/>
      <c r="P70" s="379"/>
    </row>
    <row r="71" spans="2:16" ht="20.399999999999999" x14ac:dyDescent="0.35">
      <c r="B71" s="75">
        <v>5</v>
      </c>
      <c r="C71" s="80">
        <v>50</v>
      </c>
      <c r="D71" s="80"/>
      <c r="E71" s="83" t="s">
        <v>47</v>
      </c>
      <c r="F71" s="87">
        <v>90000</v>
      </c>
      <c r="G71" s="94">
        <f>SUMIF($D$10:$D$57,$C$71,$G$10:$G$57)</f>
        <v>173386.66666666669</v>
      </c>
      <c r="H71" s="96">
        <f t="shared" si="7"/>
        <v>-83386.666666666686</v>
      </c>
      <c r="I71" s="81"/>
      <c r="P71" s="379"/>
    </row>
    <row r="72" spans="2:16" ht="20.399999999999999" x14ac:dyDescent="0.35">
      <c r="B72" s="76">
        <v>6</v>
      </c>
      <c r="C72" s="80">
        <v>60</v>
      </c>
      <c r="D72" s="80"/>
      <c r="E72" s="83" t="s">
        <v>51</v>
      </c>
      <c r="F72" s="87">
        <v>0</v>
      </c>
      <c r="G72" s="94">
        <f>SUMIF($D$10:$D$57,$C$72,$G$10:$G$57)</f>
        <v>0</v>
      </c>
      <c r="H72" s="96">
        <f t="shared" si="7"/>
        <v>0</v>
      </c>
      <c r="I72" s="81"/>
      <c r="P72" s="379"/>
    </row>
    <row r="73" spans="2:16" ht="20.399999999999999" x14ac:dyDescent="0.35">
      <c r="B73" s="76">
        <v>7</v>
      </c>
      <c r="C73" s="80">
        <v>70</v>
      </c>
      <c r="D73" s="80"/>
      <c r="E73" s="83" t="s">
        <v>52</v>
      </c>
      <c r="F73" s="87">
        <v>0</v>
      </c>
      <c r="G73" s="94">
        <f>SUMIF($D$10:$D$57,$C$73,$G$10:$G$57)</f>
        <v>12610</v>
      </c>
      <c r="H73" s="96">
        <f t="shared" si="7"/>
        <v>-12610</v>
      </c>
      <c r="I73" s="81"/>
      <c r="P73" s="379"/>
    </row>
    <row r="74" spans="2:16" ht="20.399999999999999" x14ac:dyDescent="0.35">
      <c r="B74" s="76">
        <v>8</v>
      </c>
      <c r="C74" s="80">
        <v>80</v>
      </c>
      <c r="D74" s="80"/>
      <c r="E74" s="83" t="s">
        <v>53</v>
      </c>
      <c r="F74" s="87">
        <v>0</v>
      </c>
      <c r="G74" s="94">
        <f>SUMIF($D$10:$D$57,$C$74,$G$10:$G$57)</f>
        <v>0</v>
      </c>
      <c r="H74" s="96">
        <f t="shared" si="7"/>
        <v>0</v>
      </c>
      <c r="I74" s="81"/>
      <c r="P74" s="151"/>
    </row>
    <row r="75" spans="2:16" ht="20.399999999999999" x14ac:dyDescent="0.35">
      <c r="B75" s="89"/>
      <c r="C75" s="90"/>
      <c r="D75" s="90"/>
      <c r="E75" s="91" t="s">
        <v>59</v>
      </c>
      <c r="F75" s="92">
        <f>SUM(F67:F74)</f>
        <v>1397000</v>
      </c>
      <c r="G75" s="92">
        <f>SUM(G67:G74)</f>
        <v>1359250.2266666666</v>
      </c>
      <c r="H75" s="97">
        <f>SUM(H67:H74)</f>
        <v>37749.773333333491</v>
      </c>
      <c r="I75" s="93"/>
    </row>
    <row r="76" spans="2:16" ht="20.399999999999999" x14ac:dyDescent="0.35">
      <c r="B76" s="89"/>
      <c r="C76" s="90"/>
      <c r="D76" s="90"/>
      <c r="E76" s="91" t="s">
        <v>60</v>
      </c>
      <c r="F76" s="88">
        <f>((C64-F75)/C64)</f>
        <v>-36.25333333333333</v>
      </c>
      <c r="G76" s="88"/>
      <c r="H76" s="93"/>
      <c r="I76" s="93"/>
    </row>
    <row r="77" spans="2:16" ht="20.399999999999999" x14ac:dyDescent="0.35">
      <c r="B77" s="89"/>
      <c r="C77" s="90"/>
      <c r="D77" s="90"/>
      <c r="E77" s="91" t="s">
        <v>58</v>
      </c>
      <c r="F77" s="92">
        <f>F76*C64</f>
        <v>-1359500</v>
      </c>
      <c r="G77" s="92"/>
      <c r="H77" s="93"/>
      <c r="I77" s="93"/>
    </row>
    <row r="78" spans="2:16" ht="22.2" x14ac:dyDescent="0.35">
      <c r="B78" s="41"/>
      <c r="C78" s="40"/>
      <c r="D78" s="40"/>
      <c r="E78" s="91" t="s">
        <v>68</v>
      </c>
      <c r="F78" s="194">
        <f>C64-G75</f>
        <v>-1321750.2266666666</v>
      </c>
      <c r="G78" s="388">
        <f>F78/C64</f>
        <v>-35.24667271111111</v>
      </c>
      <c r="H78" s="81"/>
      <c r="I78" s="81"/>
    </row>
    <row r="79" spans="2:16" ht="15" x14ac:dyDescent="0.25">
      <c r="B79" s="41"/>
      <c r="C79" s="40"/>
      <c r="D79" s="40"/>
      <c r="E79" s="40"/>
      <c r="F79" s="40"/>
      <c r="G79" s="42"/>
      <c r="H79" s="43"/>
      <c r="I79" s="43"/>
    </row>
    <row r="80" spans="2:16" ht="15" x14ac:dyDescent="0.25">
      <c r="B80" s="41"/>
      <c r="C80" s="40"/>
      <c r="D80" s="40"/>
      <c r="E80" s="40"/>
      <c r="F80" s="390">
        <v>0.05</v>
      </c>
      <c r="G80" s="42"/>
      <c r="H80" s="43"/>
      <c r="I80" s="43"/>
    </row>
    <row r="81" spans="2:9" ht="15" x14ac:dyDescent="0.25">
      <c r="B81" s="41"/>
      <c r="C81" s="40"/>
      <c r="D81" s="40"/>
      <c r="E81" s="40"/>
      <c r="F81" s="389">
        <f>F78*F80</f>
        <v>-66087.511333333328</v>
      </c>
      <c r="G81" s="42"/>
      <c r="H81" s="43"/>
      <c r="I81" s="43"/>
    </row>
    <row r="82" spans="2:9" ht="15" x14ac:dyDescent="0.25">
      <c r="B82" s="41"/>
      <c r="C82" s="40"/>
      <c r="D82" s="40"/>
      <c r="E82" s="40"/>
      <c r="F82" s="40"/>
      <c r="G82" s="42"/>
      <c r="H82" s="43"/>
      <c r="I82" s="43"/>
    </row>
    <row r="83" spans="2:9" ht="18" x14ac:dyDescent="0.45">
      <c r="B83" s="7"/>
      <c r="C83" s="12"/>
      <c r="D83" s="9"/>
      <c r="E83" s="9"/>
      <c r="F83" s="39"/>
      <c r="G83" s="44"/>
      <c r="H83" s="12"/>
      <c r="I83" s="7"/>
    </row>
    <row r="84" spans="2:9" ht="18" x14ac:dyDescent="0.45">
      <c r="B84" s="7"/>
      <c r="C84" s="12"/>
      <c r="D84" s="9"/>
      <c r="E84" s="9"/>
      <c r="F84" s="45"/>
      <c r="G84" s="46"/>
      <c r="H84" s="12"/>
      <c r="I84" s="7"/>
    </row>
    <row r="85" spans="2:9" ht="18" x14ac:dyDescent="0.45">
      <c r="B85" s="7"/>
      <c r="C85" s="12"/>
      <c r="D85" s="9"/>
      <c r="E85" s="9"/>
      <c r="F85" s="12"/>
      <c r="G85" s="12"/>
      <c r="H85" s="12"/>
      <c r="I85" s="7"/>
    </row>
  </sheetData>
  <mergeCells count="51">
    <mergeCell ref="AI4:AI6"/>
    <mergeCell ref="AJ4:AJ6"/>
    <mergeCell ref="AA4:AA6"/>
    <mergeCell ref="AB4:AB6"/>
    <mergeCell ref="AC4:AC6"/>
    <mergeCell ref="AD4:AD6"/>
    <mergeCell ref="AE4:AE6"/>
    <mergeCell ref="BC4:BC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S4:BS6"/>
    <mergeCell ref="BT4:BT6"/>
    <mergeCell ref="BM4:BM6"/>
    <mergeCell ref="BN4:BN6"/>
    <mergeCell ref="BO4:BO6"/>
    <mergeCell ref="BP4:BP6"/>
    <mergeCell ref="BQ4:BQ6"/>
    <mergeCell ref="BR4:BR6"/>
    <mergeCell ref="AV4:AV6"/>
    <mergeCell ref="AW4:AW6"/>
    <mergeCell ref="BA4:BA6"/>
    <mergeCell ref="BB4:BB6"/>
    <mergeCell ref="AP4:AP6"/>
    <mergeCell ref="AQ4:AQ6"/>
    <mergeCell ref="AR4:AR6"/>
    <mergeCell ref="AS4:AS6"/>
    <mergeCell ref="AT4:AT6"/>
    <mergeCell ref="AU4:AU6"/>
    <mergeCell ref="AO4:AO6"/>
    <mergeCell ref="H65:H66"/>
    <mergeCell ref="I65:I66"/>
    <mergeCell ref="E4:F5"/>
    <mergeCell ref="B65:B66"/>
    <mergeCell ref="C65:D66"/>
    <mergeCell ref="E65:E66"/>
    <mergeCell ref="F65:F66"/>
    <mergeCell ref="G65:G66"/>
    <mergeCell ref="AK4:AK6"/>
    <mergeCell ref="AL4:AL6"/>
    <mergeCell ref="AM4:AM6"/>
    <mergeCell ref="AN4:AN6"/>
    <mergeCell ref="AF4:AF6"/>
    <mergeCell ref="AG4:AG6"/>
    <mergeCell ref="AH4:AH6"/>
  </mergeCells>
  <conditionalFormatting sqref="H67:H75">
    <cfRule type="cellIs" dxfId="60" priority="1" operator="lessThan">
      <formula>0</formula>
    </cfRule>
    <cfRule type="cellIs" dxfId="59" priority="2" operator="greater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BFAA-F3E4-4789-AA07-9A162ABE1571}">
  <sheetPr>
    <tabColor theme="2" tint="-0.749992370372631"/>
  </sheetPr>
  <dimension ref="B1:J93"/>
  <sheetViews>
    <sheetView zoomScale="60" zoomScaleNormal="60" workbookViewId="0">
      <selection activeCell="H41" sqref="H41"/>
    </sheetView>
  </sheetViews>
  <sheetFormatPr defaultRowHeight="13.8" x14ac:dyDescent="0.25"/>
  <cols>
    <col min="2" max="2" width="21.59765625" style="1" customWidth="1"/>
    <col min="3" max="3" width="38.19921875" style="1" customWidth="1"/>
    <col min="4" max="4" width="17.5" style="1" customWidth="1"/>
    <col min="5" max="5" width="50.5" style="1" customWidth="1"/>
    <col min="6" max="6" width="38.09765625" style="1" customWidth="1"/>
    <col min="7" max="7" width="26" style="1" customWidth="1"/>
    <col min="8" max="9" width="22.19921875" style="1" customWidth="1"/>
    <col min="10" max="10" width="16.8984375" customWidth="1"/>
  </cols>
  <sheetData>
    <row r="1" spans="2:10" ht="22.2" x14ac:dyDescent="0.35">
      <c r="B1" s="14" t="s">
        <v>0</v>
      </c>
      <c r="C1" s="2" t="s">
        <v>21</v>
      </c>
      <c r="D1" s="2"/>
      <c r="E1" s="2"/>
      <c r="F1" s="3"/>
      <c r="G1" s="3"/>
      <c r="H1" s="146" t="s">
        <v>1</v>
      </c>
      <c r="I1" s="147">
        <v>45336</v>
      </c>
    </row>
    <row r="2" spans="2:10" ht="22.2" x14ac:dyDescent="0.55000000000000004">
      <c r="B2" s="4" t="s">
        <v>2</v>
      </c>
      <c r="C2" s="5" t="s">
        <v>22</v>
      </c>
      <c r="D2" s="5"/>
      <c r="E2" s="5"/>
      <c r="F2" s="3"/>
      <c r="G2" s="3"/>
      <c r="H2" s="146" t="s">
        <v>3</v>
      </c>
      <c r="I2" s="148"/>
    </row>
    <row r="3" spans="2:10" ht="22.2" x14ac:dyDescent="0.55000000000000004">
      <c r="B3" s="4" t="s">
        <v>74</v>
      </c>
      <c r="C3" s="145" t="str">
        <f>C71</f>
        <v>UNT-2500/001</v>
      </c>
      <c r="D3" s="6"/>
      <c r="E3" s="6"/>
      <c r="F3" s="7"/>
      <c r="G3" s="7"/>
      <c r="H3" s="7"/>
      <c r="I3" s="7"/>
    </row>
    <row r="4" spans="2:10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0" ht="22.2" x14ac:dyDescent="0.55000000000000004">
      <c r="B5" s="4" t="s">
        <v>7</v>
      </c>
      <c r="C5" s="11">
        <f>C72</f>
        <v>371100</v>
      </c>
      <c r="D5" s="9"/>
      <c r="E5" s="556"/>
      <c r="F5" s="556"/>
      <c r="G5" s="3"/>
      <c r="H5" s="7"/>
      <c r="I5" s="7"/>
    </row>
    <row r="6" spans="2:10" ht="26.4" x14ac:dyDescent="0.55000000000000004">
      <c r="B6" s="4" t="s">
        <v>8</v>
      </c>
      <c r="C6" s="11">
        <f>F83</f>
        <v>9862000</v>
      </c>
      <c r="D6" s="12"/>
      <c r="E6" s="13"/>
      <c r="F6" s="10"/>
      <c r="G6" s="3"/>
      <c r="H6" s="7"/>
      <c r="I6" s="7"/>
    </row>
    <row r="7" spans="2:10" ht="22.2" x14ac:dyDescent="0.55000000000000004">
      <c r="B7" s="15" t="s">
        <v>9</v>
      </c>
      <c r="C7" s="16">
        <f>(C5-C6)/C5</f>
        <v>-25.575047157100514</v>
      </c>
      <c r="D7" s="15" t="s">
        <v>10</v>
      </c>
      <c r="E7" s="17">
        <v>1</v>
      </c>
      <c r="F7" s="18"/>
      <c r="G7" s="18"/>
      <c r="H7" s="18"/>
      <c r="I7" s="18"/>
    </row>
    <row r="8" spans="2:10" ht="30" customHeight="1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65" t="s">
        <v>16</v>
      </c>
      <c r="J8" s="174" t="s">
        <v>126</v>
      </c>
    </row>
    <row r="9" spans="2:10" ht="30" customHeight="1" x14ac:dyDescent="0.25">
      <c r="B9" s="22"/>
      <c r="C9" s="23"/>
      <c r="D9" s="23"/>
      <c r="E9" s="23"/>
      <c r="F9" s="23"/>
      <c r="G9" s="24"/>
      <c r="H9" s="25"/>
      <c r="I9" s="166"/>
      <c r="J9" s="175"/>
    </row>
    <row r="10" spans="2:10" ht="25.8" x14ac:dyDescent="0.65">
      <c r="B10" s="103">
        <v>1</v>
      </c>
      <c r="C10" s="61" t="s">
        <v>30</v>
      </c>
      <c r="D10" s="64">
        <v>10</v>
      </c>
      <c r="E10" s="61" t="s">
        <v>29</v>
      </c>
      <c r="F10" s="61" t="s">
        <v>31</v>
      </c>
      <c r="G10" s="70">
        <v>78720</v>
      </c>
      <c r="H10" s="402" t="s">
        <v>17</v>
      </c>
      <c r="I10" s="167">
        <v>45735</v>
      </c>
      <c r="J10" s="175"/>
    </row>
    <row r="11" spans="2:10" ht="25.8" x14ac:dyDescent="0.65">
      <c r="B11" s="104">
        <v>2</v>
      </c>
      <c r="C11" s="61" t="s">
        <v>34</v>
      </c>
      <c r="D11" s="64">
        <v>10</v>
      </c>
      <c r="E11" s="61" t="s">
        <v>35</v>
      </c>
      <c r="F11" s="61" t="s">
        <v>36</v>
      </c>
      <c r="G11" s="70">
        <v>395000</v>
      </c>
      <c r="H11" s="403" t="s">
        <v>37</v>
      </c>
      <c r="I11" s="168">
        <v>45748</v>
      </c>
      <c r="J11" s="175"/>
    </row>
    <row r="12" spans="2:10" ht="25.8" x14ac:dyDescent="0.65">
      <c r="B12" s="104">
        <v>3</v>
      </c>
      <c r="C12" s="61" t="s">
        <v>38</v>
      </c>
      <c r="D12" s="64">
        <v>10</v>
      </c>
      <c r="E12" s="61" t="s">
        <v>39</v>
      </c>
      <c r="F12" s="61" t="s">
        <v>40</v>
      </c>
      <c r="G12" s="70">
        <v>78720</v>
      </c>
      <c r="H12" s="403" t="s">
        <v>37</v>
      </c>
      <c r="I12" s="168">
        <v>45748</v>
      </c>
      <c r="J12" s="175"/>
    </row>
    <row r="13" spans="2:10" ht="25.8" x14ac:dyDescent="0.65">
      <c r="B13" s="104">
        <v>4</v>
      </c>
      <c r="C13" s="61" t="s">
        <v>41</v>
      </c>
      <c r="D13" s="64">
        <v>10</v>
      </c>
      <c r="E13" s="61" t="s">
        <v>43</v>
      </c>
      <c r="F13" s="61" t="s">
        <v>42</v>
      </c>
      <c r="G13" s="70">
        <v>5854.8</v>
      </c>
      <c r="H13" s="403" t="s">
        <v>37</v>
      </c>
      <c r="I13" s="168">
        <v>45748</v>
      </c>
      <c r="J13" s="175"/>
    </row>
    <row r="14" spans="2:10" ht="25.8" x14ac:dyDescent="0.65">
      <c r="B14" s="104">
        <v>5</v>
      </c>
      <c r="C14" s="61" t="s">
        <v>41</v>
      </c>
      <c r="D14" s="64">
        <v>10</v>
      </c>
      <c r="E14" s="61" t="s">
        <v>44</v>
      </c>
      <c r="F14" s="61" t="s">
        <v>46</v>
      </c>
      <c r="G14" s="70">
        <v>2114343.66</v>
      </c>
      <c r="H14" s="403" t="s">
        <v>37</v>
      </c>
      <c r="I14" s="168">
        <v>45748</v>
      </c>
      <c r="J14" s="175"/>
    </row>
    <row r="15" spans="2:10" ht="26.4" customHeight="1" x14ac:dyDescent="0.65">
      <c r="B15" s="104">
        <v>6</v>
      </c>
      <c r="C15" s="26" t="s">
        <v>75</v>
      </c>
      <c r="D15" s="64">
        <v>60</v>
      </c>
      <c r="E15" s="101" t="s">
        <v>27</v>
      </c>
      <c r="F15" s="101"/>
      <c r="G15" s="102">
        <v>13800</v>
      </c>
      <c r="H15" s="404" t="s">
        <v>17</v>
      </c>
      <c r="I15" s="169"/>
      <c r="J15" s="175"/>
    </row>
    <row r="16" spans="2:10" ht="25.8" x14ac:dyDescent="0.65">
      <c r="B16" s="104">
        <v>7</v>
      </c>
      <c r="C16" s="60" t="s">
        <v>194</v>
      </c>
      <c r="D16" s="64">
        <v>20</v>
      </c>
      <c r="E16" s="60" t="s">
        <v>195</v>
      </c>
      <c r="F16" s="60"/>
      <c r="G16" s="62">
        <v>1150000</v>
      </c>
      <c r="H16" s="404" t="s">
        <v>17</v>
      </c>
      <c r="I16" s="168">
        <v>45769</v>
      </c>
      <c r="J16" s="175"/>
    </row>
    <row r="17" spans="2:10" ht="25.8" x14ac:dyDescent="0.65">
      <c r="B17" s="104">
        <v>8</v>
      </c>
      <c r="C17" s="61" t="s">
        <v>38</v>
      </c>
      <c r="D17" s="64">
        <v>10</v>
      </c>
      <c r="E17" s="61" t="s">
        <v>196</v>
      </c>
      <c r="F17" s="61" t="s">
        <v>197</v>
      </c>
      <c r="G17" s="70">
        <v>106275</v>
      </c>
      <c r="H17" s="404" t="s">
        <v>17</v>
      </c>
      <c r="I17" s="167">
        <v>45806</v>
      </c>
      <c r="J17" s="175" t="s">
        <v>243</v>
      </c>
    </row>
    <row r="18" spans="2:10" ht="25.8" x14ac:dyDescent="0.65">
      <c r="B18" s="104">
        <v>9</v>
      </c>
      <c r="C18" s="61" t="s">
        <v>38</v>
      </c>
      <c r="D18" s="64">
        <v>10</v>
      </c>
      <c r="E18" s="61" t="s">
        <v>200</v>
      </c>
      <c r="F18" s="61" t="s">
        <v>201</v>
      </c>
      <c r="G18" s="70">
        <v>23616</v>
      </c>
      <c r="H18" s="404" t="s">
        <v>17</v>
      </c>
      <c r="I18" s="167">
        <v>45803</v>
      </c>
      <c r="J18" s="175"/>
    </row>
    <row r="19" spans="2:10" ht="25.8" x14ac:dyDescent="0.65">
      <c r="B19" s="104">
        <v>10</v>
      </c>
      <c r="C19" s="61" t="s">
        <v>202</v>
      </c>
      <c r="D19" s="64">
        <v>10</v>
      </c>
      <c r="E19" s="61" t="s">
        <v>203</v>
      </c>
      <c r="F19" s="61" t="s">
        <v>204</v>
      </c>
      <c r="G19" s="70">
        <v>9705.16</v>
      </c>
      <c r="H19" s="404" t="s">
        <v>17</v>
      </c>
      <c r="I19" s="167">
        <v>45803</v>
      </c>
      <c r="J19" s="175"/>
    </row>
    <row r="20" spans="2:10" ht="25.8" x14ac:dyDescent="0.65">
      <c r="B20" s="104">
        <v>11</v>
      </c>
      <c r="C20" s="61" t="s">
        <v>38</v>
      </c>
      <c r="D20" s="64">
        <v>10</v>
      </c>
      <c r="E20" s="61" t="s">
        <v>205</v>
      </c>
      <c r="F20" s="61" t="s">
        <v>206</v>
      </c>
      <c r="G20" s="70">
        <v>30030</v>
      </c>
      <c r="H20" s="404" t="s">
        <v>17</v>
      </c>
      <c r="I20" s="167">
        <v>45803</v>
      </c>
      <c r="J20" s="175"/>
    </row>
    <row r="21" spans="2:10" ht="25.8" x14ac:dyDescent="0.65">
      <c r="B21" s="104">
        <v>12</v>
      </c>
      <c r="C21" s="61" t="s">
        <v>38</v>
      </c>
      <c r="D21" s="64">
        <v>10</v>
      </c>
      <c r="E21" s="61" t="s">
        <v>207</v>
      </c>
      <c r="F21" s="61" t="s">
        <v>208</v>
      </c>
      <c r="G21" s="70">
        <v>4755</v>
      </c>
      <c r="H21" s="404" t="s">
        <v>17</v>
      </c>
      <c r="I21" s="167">
        <v>45803</v>
      </c>
      <c r="J21" s="175"/>
    </row>
    <row r="22" spans="2:10" ht="25.8" x14ac:dyDescent="0.65">
      <c r="B22" s="104">
        <v>13</v>
      </c>
      <c r="C22" s="61" t="s">
        <v>202</v>
      </c>
      <c r="D22" s="64">
        <v>10</v>
      </c>
      <c r="E22" s="61" t="s">
        <v>209</v>
      </c>
      <c r="F22" s="61" t="s">
        <v>210</v>
      </c>
      <c r="G22" s="70">
        <v>1044.75</v>
      </c>
      <c r="H22" s="404" t="s">
        <v>17</v>
      </c>
      <c r="I22" s="167">
        <v>45798</v>
      </c>
      <c r="J22" s="175"/>
    </row>
    <row r="23" spans="2:10" ht="25.8" x14ac:dyDescent="0.65">
      <c r="B23" s="104">
        <v>14</v>
      </c>
      <c r="C23" s="61" t="s">
        <v>38</v>
      </c>
      <c r="D23" s="64">
        <v>10</v>
      </c>
      <c r="E23" s="61" t="s">
        <v>207</v>
      </c>
      <c r="F23" s="61" t="s">
        <v>214</v>
      </c>
      <c r="G23" s="70">
        <v>25107</v>
      </c>
      <c r="H23" s="404" t="s">
        <v>17</v>
      </c>
      <c r="I23" s="167">
        <v>45783</v>
      </c>
      <c r="J23" s="175" t="s">
        <v>215</v>
      </c>
    </row>
    <row r="24" spans="2:10" ht="25.8" x14ac:dyDescent="0.65">
      <c r="B24" s="104">
        <v>15</v>
      </c>
      <c r="C24" s="61" t="s">
        <v>38</v>
      </c>
      <c r="D24" s="64">
        <v>10</v>
      </c>
      <c r="E24" s="61" t="s">
        <v>219</v>
      </c>
      <c r="F24" s="61" t="s">
        <v>220</v>
      </c>
      <c r="G24" s="70">
        <v>25935</v>
      </c>
      <c r="H24" s="404" t="s">
        <v>17</v>
      </c>
      <c r="I24" s="167">
        <v>45825</v>
      </c>
      <c r="J24" s="175" t="s">
        <v>221</v>
      </c>
    </row>
    <row r="25" spans="2:10" ht="25.8" x14ac:dyDescent="0.65">
      <c r="B25" s="104">
        <v>16</v>
      </c>
      <c r="C25" s="61" t="s">
        <v>38</v>
      </c>
      <c r="D25" s="64">
        <v>10</v>
      </c>
      <c r="E25" s="61" t="s">
        <v>222</v>
      </c>
      <c r="F25" s="61" t="s">
        <v>223</v>
      </c>
      <c r="G25" s="70">
        <v>31577.200000000001</v>
      </c>
      <c r="H25" s="404" t="s">
        <v>17</v>
      </c>
      <c r="I25" s="167">
        <v>45825</v>
      </c>
      <c r="J25" s="175" t="s">
        <v>224</v>
      </c>
    </row>
    <row r="26" spans="2:10" ht="25.8" x14ac:dyDescent="0.65">
      <c r="B26" s="104">
        <v>17</v>
      </c>
      <c r="C26" s="61" t="s">
        <v>38</v>
      </c>
      <c r="D26" s="64">
        <v>10</v>
      </c>
      <c r="E26" s="61" t="s">
        <v>196</v>
      </c>
      <c r="F26" s="61" t="s">
        <v>229</v>
      </c>
      <c r="G26" s="70">
        <v>14235</v>
      </c>
      <c r="H26" s="404" t="s">
        <v>17</v>
      </c>
      <c r="I26" s="167">
        <v>45810</v>
      </c>
      <c r="J26" s="175" t="s">
        <v>230</v>
      </c>
    </row>
    <row r="27" spans="2:10" ht="25.8" x14ac:dyDescent="0.65">
      <c r="B27" s="104">
        <v>18</v>
      </c>
      <c r="C27" s="61" t="s">
        <v>38</v>
      </c>
      <c r="D27" s="64">
        <v>10</v>
      </c>
      <c r="E27" s="61" t="s">
        <v>231</v>
      </c>
      <c r="F27" s="61" t="s">
        <v>232</v>
      </c>
      <c r="G27" s="70">
        <v>41949.599999999999</v>
      </c>
      <c r="H27" s="404" t="s">
        <v>17</v>
      </c>
      <c r="I27" s="167">
        <v>45835</v>
      </c>
      <c r="J27" s="175" t="s">
        <v>233</v>
      </c>
    </row>
    <row r="28" spans="2:10" ht="25.8" x14ac:dyDescent="0.65">
      <c r="B28" s="104">
        <v>19</v>
      </c>
      <c r="C28" s="61" t="s">
        <v>38</v>
      </c>
      <c r="D28" s="64">
        <v>10</v>
      </c>
      <c r="E28" s="61" t="s">
        <v>235</v>
      </c>
      <c r="F28" s="61" t="s">
        <v>236</v>
      </c>
      <c r="G28" s="70">
        <v>4650</v>
      </c>
      <c r="H28" s="404" t="s">
        <v>17</v>
      </c>
      <c r="I28" s="167">
        <v>45834</v>
      </c>
      <c r="J28" s="175" t="s">
        <v>234</v>
      </c>
    </row>
    <row r="29" spans="2:10" ht="25.8" x14ac:dyDescent="0.65">
      <c r="B29" s="104">
        <v>20</v>
      </c>
      <c r="C29" s="61" t="s">
        <v>38</v>
      </c>
      <c r="D29" s="64">
        <v>10</v>
      </c>
      <c r="E29" s="61" t="s">
        <v>239</v>
      </c>
      <c r="F29" s="61" t="s">
        <v>238</v>
      </c>
      <c r="G29" s="70">
        <v>101080</v>
      </c>
      <c r="H29" s="404" t="s">
        <v>17</v>
      </c>
      <c r="I29" s="167">
        <v>45834</v>
      </c>
      <c r="J29" s="175" t="s">
        <v>237</v>
      </c>
    </row>
    <row r="30" spans="2:10" ht="25.8" x14ac:dyDescent="0.65">
      <c r="B30" s="104">
        <v>21</v>
      </c>
      <c r="C30" s="61" t="s">
        <v>38</v>
      </c>
      <c r="D30" s="64">
        <v>10</v>
      </c>
      <c r="E30" s="61" t="s">
        <v>242</v>
      </c>
      <c r="F30" s="61" t="s">
        <v>241</v>
      </c>
      <c r="G30" s="70">
        <v>80893.16</v>
      </c>
      <c r="H30" s="404" t="s">
        <v>17</v>
      </c>
      <c r="I30" s="167">
        <v>45834</v>
      </c>
      <c r="J30" s="175" t="s">
        <v>240</v>
      </c>
    </row>
    <row r="31" spans="2:10" ht="25.8" x14ac:dyDescent="0.65">
      <c r="B31" s="104">
        <v>22</v>
      </c>
      <c r="C31" s="61"/>
      <c r="D31" s="64"/>
      <c r="E31" s="61"/>
      <c r="F31" s="61"/>
      <c r="G31" s="70"/>
      <c r="H31" s="66"/>
      <c r="I31" s="171"/>
      <c r="J31" s="175"/>
    </row>
    <row r="32" spans="2:10" ht="25.8" x14ac:dyDescent="0.65">
      <c r="B32" s="104">
        <v>23</v>
      </c>
      <c r="C32" s="61"/>
      <c r="D32" s="64"/>
      <c r="E32" s="61"/>
      <c r="F32" s="61"/>
      <c r="G32" s="70"/>
      <c r="H32" s="66"/>
      <c r="I32" s="171"/>
      <c r="J32" s="175"/>
    </row>
    <row r="33" spans="2:10" ht="25.8" x14ac:dyDescent="0.65">
      <c r="B33" s="104">
        <v>24</v>
      </c>
      <c r="C33" s="61"/>
      <c r="D33" s="64"/>
      <c r="E33" s="61"/>
      <c r="F33" s="61"/>
      <c r="G33" s="70"/>
      <c r="H33" s="66"/>
      <c r="I33" s="203"/>
      <c r="J33" s="175"/>
    </row>
    <row r="34" spans="2:10" ht="25.8" x14ac:dyDescent="0.65">
      <c r="B34" s="104">
        <v>25</v>
      </c>
      <c r="C34" s="61"/>
      <c r="D34" s="64"/>
      <c r="E34" s="61"/>
      <c r="F34" s="61"/>
      <c r="G34" s="67"/>
      <c r="H34" s="66"/>
      <c r="I34" s="203"/>
      <c r="J34" s="175"/>
    </row>
    <row r="35" spans="2:10" ht="25.8" x14ac:dyDescent="0.65">
      <c r="B35" s="104">
        <v>26</v>
      </c>
      <c r="C35" s="47"/>
      <c r="D35" s="64"/>
      <c r="E35" s="47"/>
      <c r="F35" s="47"/>
      <c r="G35" s="49"/>
      <c r="H35" s="48"/>
      <c r="I35" s="173"/>
      <c r="J35" s="175"/>
    </row>
    <row r="36" spans="2:10" ht="25.8" x14ac:dyDescent="0.65">
      <c r="B36" s="104">
        <v>27</v>
      </c>
      <c r="C36" s="47"/>
      <c r="D36" s="64"/>
      <c r="E36" s="47"/>
      <c r="F36" s="47"/>
      <c r="G36" s="49"/>
      <c r="H36" s="48"/>
      <c r="I36" s="173"/>
      <c r="J36" s="175"/>
    </row>
    <row r="37" spans="2:10" ht="25.8" x14ac:dyDescent="0.65">
      <c r="B37" s="104">
        <v>28</v>
      </c>
      <c r="C37" s="47"/>
      <c r="D37" s="64"/>
      <c r="E37" s="47"/>
      <c r="F37" s="47"/>
      <c r="G37" s="49"/>
      <c r="H37" s="48"/>
      <c r="I37" s="173"/>
      <c r="J37" s="175"/>
    </row>
    <row r="38" spans="2:10" ht="25.8" x14ac:dyDescent="0.65">
      <c r="B38" s="104">
        <v>29</v>
      </c>
      <c r="C38" s="47"/>
      <c r="D38" s="64"/>
      <c r="E38" s="47"/>
      <c r="F38" s="47"/>
      <c r="G38" s="49"/>
      <c r="H38" s="48"/>
      <c r="I38" s="173"/>
      <c r="J38" s="175"/>
    </row>
    <row r="39" spans="2:10" ht="25.8" x14ac:dyDescent="0.65">
      <c r="B39" s="104">
        <v>30</v>
      </c>
      <c r="C39" s="47"/>
      <c r="D39" s="64"/>
      <c r="E39" s="47"/>
      <c r="F39" s="47"/>
      <c r="G39" s="49"/>
      <c r="H39" s="48"/>
      <c r="I39" s="173"/>
      <c r="J39" s="175"/>
    </row>
    <row r="40" spans="2:10" ht="25.8" x14ac:dyDescent="0.65">
      <c r="B40" s="104">
        <v>31</v>
      </c>
      <c r="C40" s="47"/>
      <c r="D40" s="64"/>
      <c r="E40" s="47"/>
      <c r="F40" s="47"/>
      <c r="G40" s="49"/>
      <c r="H40" s="48"/>
      <c r="I40" s="173"/>
      <c r="J40" s="175"/>
    </row>
    <row r="41" spans="2:10" ht="25.8" x14ac:dyDescent="0.65">
      <c r="B41" s="104">
        <v>32</v>
      </c>
      <c r="C41" s="47"/>
      <c r="D41" s="64"/>
      <c r="E41" s="47"/>
      <c r="F41" s="47"/>
      <c r="G41" s="49"/>
      <c r="H41" s="48"/>
      <c r="I41" s="173"/>
      <c r="J41" s="175"/>
    </row>
    <row r="42" spans="2:10" ht="25.8" x14ac:dyDescent="0.65">
      <c r="B42" s="104">
        <v>33</v>
      </c>
      <c r="C42" s="47"/>
      <c r="D42" s="64"/>
      <c r="E42" s="47"/>
      <c r="F42" s="47"/>
      <c r="G42" s="49"/>
      <c r="H42" s="48"/>
      <c r="I42" s="173"/>
      <c r="J42" s="175"/>
    </row>
    <row r="43" spans="2:10" ht="25.8" x14ac:dyDescent="0.65">
      <c r="B43" s="104">
        <v>34</v>
      </c>
      <c r="C43" s="47"/>
      <c r="D43" s="64"/>
      <c r="E43" s="47"/>
      <c r="F43" s="47"/>
      <c r="G43" s="49"/>
      <c r="H43" s="48"/>
      <c r="I43" s="173"/>
      <c r="J43" s="175"/>
    </row>
    <row r="44" spans="2:10" ht="25.8" x14ac:dyDescent="0.65">
      <c r="B44" s="104">
        <v>35</v>
      </c>
      <c r="C44" s="47"/>
      <c r="D44" s="64"/>
      <c r="E44" s="47"/>
      <c r="F44" s="47"/>
      <c r="G44" s="49"/>
      <c r="H44" s="48"/>
      <c r="I44" s="173"/>
      <c r="J44" s="175"/>
    </row>
    <row r="45" spans="2:10" ht="25.8" x14ac:dyDescent="0.65">
      <c r="B45" s="104">
        <v>36</v>
      </c>
      <c r="C45" s="47"/>
      <c r="D45" s="64"/>
      <c r="E45" s="47"/>
      <c r="F45" s="47"/>
      <c r="G45" s="49"/>
      <c r="H45" s="48"/>
      <c r="I45" s="173"/>
      <c r="J45" s="175"/>
    </row>
    <row r="46" spans="2:10" ht="25.8" x14ac:dyDescent="0.65">
      <c r="B46" s="104">
        <v>37</v>
      </c>
      <c r="C46" s="47"/>
      <c r="D46" s="64"/>
      <c r="E46" s="47"/>
      <c r="F46" s="47"/>
      <c r="G46" s="49"/>
      <c r="H46" s="48"/>
      <c r="I46" s="173"/>
      <c r="J46" s="175"/>
    </row>
    <row r="47" spans="2:10" ht="25.8" x14ac:dyDescent="0.65">
      <c r="B47" s="104">
        <v>38</v>
      </c>
      <c r="C47" s="47"/>
      <c r="D47" s="64"/>
      <c r="E47" s="47"/>
      <c r="F47" s="47"/>
      <c r="G47" s="49"/>
      <c r="H47" s="48"/>
      <c r="I47" s="173"/>
      <c r="J47" s="175"/>
    </row>
    <row r="48" spans="2:10" ht="25.8" x14ac:dyDescent="0.65">
      <c r="B48" s="104">
        <v>39</v>
      </c>
      <c r="C48" s="47"/>
      <c r="D48" s="64"/>
      <c r="E48" s="47"/>
      <c r="F48" s="47"/>
      <c r="G48" s="49"/>
      <c r="H48" s="48"/>
      <c r="I48" s="173"/>
      <c r="J48" s="175"/>
    </row>
    <row r="49" spans="2:10" ht="25.8" x14ac:dyDescent="0.65">
      <c r="B49" s="104">
        <v>40</v>
      </c>
      <c r="C49" s="47"/>
      <c r="D49" s="64"/>
      <c r="E49" s="47"/>
      <c r="F49" s="47"/>
      <c r="G49" s="49"/>
      <c r="H49" s="48"/>
      <c r="I49" s="173"/>
      <c r="J49" s="175"/>
    </row>
    <row r="50" spans="2:10" ht="25.8" x14ac:dyDescent="0.65">
      <c r="B50" s="104">
        <v>41</v>
      </c>
      <c r="C50" s="47"/>
      <c r="D50" s="64"/>
      <c r="E50" s="47"/>
      <c r="F50" s="47"/>
      <c r="G50" s="49"/>
      <c r="H50" s="48"/>
      <c r="I50" s="173"/>
      <c r="J50" s="175"/>
    </row>
    <row r="51" spans="2:10" ht="25.8" x14ac:dyDescent="0.65">
      <c r="B51" s="104">
        <v>42</v>
      </c>
      <c r="C51" s="47"/>
      <c r="D51" s="64"/>
      <c r="E51" s="47"/>
      <c r="F51" s="47"/>
      <c r="G51" s="49"/>
      <c r="H51" s="48"/>
      <c r="I51" s="173"/>
      <c r="J51" s="175"/>
    </row>
    <row r="52" spans="2:10" ht="25.8" x14ac:dyDescent="0.65">
      <c r="B52" s="104">
        <v>43</v>
      </c>
      <c r="C52" s="47"/>
      <c r="D52" s="64"/>
      <c r="E52" s="47"/>
      <c r="F52" s="47"/>
      <c r="G52" s="49"/>
      <c r="H52" s="48"/>
      <c r="I52" s="173"/>
      <c r="J52" s="175"/>
    </row>
    <row r="53" spans="2:10" ht="25.8" x14ac:dyDescent="0.65">
      <c r="B53" s="104">
        <v>44</v>
      </c>
      <c r="C53" s="47"/>
      <c r="D53" s="64"/>
      <c r="E53" s="47"/>
      <c r="F53" s="47"/>
      <c r="G53" s="49"/>
      <c r="H53" s="48"/>
      <c r="I53" s="173"/>
      <c r="J53" s="175"/>
    </row>
    <row r="54" spans="2:10" ht="25.8" x14ac:dyDescent="0.65">
      <c r="B54" s="104">
        <v>45</v>
      </c>
      <c r="C54" s="47"/>
      <c r="D54" s="64"/>
      <c r="E54" s="47"/>
      <c r="F54" s="47"/>
      <c r="G54" s="49"/>
      <c r="H54" s="48"/>
      <c r="I54" s="173"/>
      <c r="J54" s="175"/>
    </row>
    <row r="55" spans="2:10" ht="25.8" x14ac:dyDescent="0.65">
      <c r="B55" s="104">
        <v>46</v>
      </c>
      <c r="C55" s="47"/>
      <c r="D55" s="64"/>
      <c r="E55" s="47"/>
      <c r="F55" s="47"/>
      <c r="G55" s="49"/>
      <c r="H55" s="48"/>
      <c r="I55" s="173"/>
      <c r="J55" s="175"/>
    </row>
    <row r="56" spans="2:10" ht="25.8" x14ac:dyDescent="0.65">
      <c r="B56" s="104">
        <v>47</v>
      </c>
      <c r="C56" s="47"/>
      <c r="D56" s="64"/>
      <c r="E56" s="47"/>
      <c r="F56" s="47"/>
      <c r="G56" s="49"/>
      <c r="H56" s="48"/>
      <c r="I56" s="173"/>
      <c r="J56" s="175"/>
    </row>
    <row r="57" spans="2:10" ht="25.8" x14ac:dyDescent="0.65">
      <c r="B57" s="104">
        <v>48</v>
      </c>
      <c r="C57" s="47"/>
      <c r="D57" s="64"/>
      <c r="E57" s="47"/>
      <c r="F57" s="47"/>
      <c r="G57" s="49"/>
      <c r="H57" s="48"/>
      <c r="I57" s="173"/>
      <c r="J57" s="175"/>
    </row>
    <row r="58" spans="2:10" ht="25.8" x14ac:dyDescent="0.65">
      <c r="B58" s="104">
        <v>49</v>
      </c>
      <c r="C58" s="47"/>
      <c r="D58" s="64"/>
      <c r="E58" s="47"/>
      <c r="F58" s="47"/>
      <c r="G58" s="49"/>
      <c r="H58" s="48"/>
      <c r="I58" s="173"/>
      <c r="J58" s="175"/>
    </row>
    <row r="59" spans="2:10" ht="25.8" x14ac:dyDescent="0.65">
      <c r="B59" s="104">
        <v>50</v>
      </c>
      <c r="C59" s="47"/>
      <c r="D59" s="64"/>
      <c r="E59" s="47"/>
      <c r="F59" s="47"/>
      <c r="G59" s="49"/>
      <c r="H59" s="48"/>
      <c r="I59" s="173"/>
      <c r="J59" s="175"/>
    </row>
    <row r="60" spans="2:10" ht="25.8" x14ac:dyDescent="0.65">
      <c r="B60" s="104">
        <v>51</v>
      </c>
      <c r="C60" s="47"/>
      <c r="D60" s="64"/>
      <c r="E60" s="47"/>
      <c r="F60" s="47"/>
      <c r="G60" s="49"/>
      <c r="H60" s="48"/>
      <c r="I60" s="173"/>
      <c r="J60" s="175"/>
    </row>
    <row r="61" spans="2:10" ht="25.8" x14ac:dyDescent="0.65">
      <c r="B61" s="104">
        <v>52</v>
      </c>
      <c r="C61" s="47"/>
      <c r="D61" s="64"/>
      <c r="E61" s="47"/>
      <c r="F61" s="47"/>
      <c r="G61" s="49"/>
      <c r="H61" s="48"/>
      <c r="I61" s="173"/>
      <c r="J61" s="175"/>
    </row>
    <row r="62" spans="2:10" ht="25.8" x14ac:dyDescent="0.65">
      <c r="B62" s="104">
        <v>53</v>
      </c>
      <c r="C62" s="47"/>
      <c r="D62" s="64"/>
      <c r="E62" s="47"/>
      <c r="F62" s="47"/>
      <c r="G62" s="49"/>
      <c r="H62" s="48"/>
      <c r="I62" s="173"/>
      <c r="J62" s="175"/>
    </row>
    <row r="63" spans="2:10" ht="25.8" x14ac:dyDescent="0.65">
      <c r="B63" s="104">
        <v>54</v>
      </c>
      <c r="C63" s="47"/>
      <c r="D63" s="64"/>
      <c r="E63" s="47"/>
      <c r="F63" s="47"/>
      <c r="G63" s="49"/>
      <c r="H63" s="48"/>
      <c r="I63" s="173"/>
      <c r="J63" s="175"/>
    </row>
    <row r="64" spans="2:10" ht="25.8" x14ac:dyDescent="0.65">
      <c r="B64" s="104">
        <v>55</v>
      </c>
      <c r="C64" s="47"/>
      <c r="D64" s="64"/>
      <c r="E64" s="47"/>
      <c r="F64" s="47"/>
      <c r="G64" s="49"/>
      <c r="H64" s="48"/>
      <c r="I64" s="173"/>
      <c r="J64" s="175"/>
    </row>
    <row r="65" spans="2:10" ht="25.8" x14ac:dyDescent="0.65">
      <c r="B65" s="31"/>
      <c r="C65" s="47"/>
      <c r="D65" s="64"/>
      <c r="E65" s="47"/>
      <c r="F65" s="47"/>
      <c r="G65" s="49"/>
      <c r="H65" s="48"/>
      <c r="I65" s="173"/>
      <c r="J65" s="175"/>
    </row>
    <row r="66" spans="2:10" ht="18" x14ac:dyDescent="0.45">
      <c r="B66" s="7"/>
      <c r="C66" s="12"/>
      <c r="D66" s="9"/>
      <c r="E66" s="9"/>
      <c r="F66" s="32" t="s">
        <v>18</v>
      </c>
      <c r="G66" s="33">
        <f>SUM(G9:G65)</f>
        <v>4337291.33</v>
      </c>
      <c r="H66" s="12"/>
      <c r="I66" s="7"/>
    </row>
    <row r="67" spans="2:10" ht="18" x14ac:dyDescent="0.45">
      <c r="B67" s="7"/>
      <c r="C67" s="12"/>
      <c r="D67" s="9"/>
      <c r="E67" s="9"/>
      <c r="F67" s="34" t="s">
        <v>19</v>
      </c>
      <c r="G67" s="35">
        <f>$C$6-G66</f>
        <v>5524708.6699999999</v>
      </c>
      <c r="H67" s="12"/>
      <c r="I67" s="7"/>
    </row>
    <row r="68" spans="2:10" ht="18" x14ac:dyDescent="0.45">
      <c r="B68" s="7"/>
      <c r="C68" s="12"/>
      <c r="D68" s="9"/>
      <c r="E68" s="9"/>
      <c r="F68" s="12"/>
      <c r="G68" s="12"/>
      <c r="H68" s="12"/>
      <c r="I68" s="7"/>
    </row>
    <row r="69" spans="2:10" ht="18" x14ac:dyDescent="0.45">
      <c r="B69" s="7"/>
      <c r="C69" s="12"/>
      <c r="D69" s="9"/>
      <c r="E69" s="9"/>
      <c r="F69" s="36" t="s">
        <v>20</v>
      </c>
      <c r="G69" s="37">
        <f>G67/C6</f>
        <v>0.56020164976678155</v>
      </c>
      <c r="H69" s="38"/>
      <c r="I69" s="7"/>
    </row>
    <row r="70" spans="2:10" ht="26.4" x14ac:dyDescent="0.55000000000000004">
      <c r="B70" s="4"/>
      <c r="C70" s="11"/>
      <c r="D70" s="9"/>
      <c r="E70" s="10"/>
      <c r="F70" s="10"/>
      <c r="G70" s="3"/>
      <c r="H70" s="7"/>
      <c r="I70" s="7"/>
    </row>
    <row r="71" spans="2:10" ht="26.4" x14ac:dyDescent="0.55000000000000004">
      <c r="B71" s="143" t="s">
        <v>79</v>
      </c>
      <c r="C71" s="144" t="str">
        <f>'All Job balance report'!B7</f>
        <v>UNT-2500/001</v>
      </c>
      <c r="D71" s="12"/>
      <c r="E71" s="13"/>
      <c r="F71" s="10"/>
      <c r="G71" s="3"/>
      <c r="H71" s="7"/>
      <c r="I71" s="7"/>
    </row>
    <row r="72" spans="2:10" ht="22.2" x14ac:dyDescent="0.55000000000000004">
      <c r="B72" s="82" t="s">
        <v>7</v>
      </c>
      <c r="C72" s="85">
        <f>'All Job balance report'!G7</f>
        <v>371100</v>
      </c>
      <c r="D72" s="15"/>
      <c r="E72" s="17"/>
      <c r="F72" s="18"/>
      <c r="G72" s="18"/>
      <c r="H72" s="18"/>
      <c r="I72" s="18"/>
    </row>
    <row r="73" spans="2:10" x14ac:dyDescent="0.25">
      <c r="B73" s="557" t="s">
        <v>23</v>
      </c>
      <c r="C73" s="557" t="s">
        <v>28</v>
      </c>
      <c r="D73" s="559"/>
      <c r="E73" s="555" t="s">
        <v>13</v>
      </c>
      <c r="F73" s="555" t="s">
        <v>54</v>
      </c>
      <c r="G73" s="555" t="s">
        <v>55</v>
      </c>
      <c r="H73" s="555" t="s">
        <v>56</v>
      </c>
      <c r="I73" s="555" t="s">
        <v>57</v>
      </c>
    </row>
    <row r="74" spans="2:10" x14ac:dyDescent="0.25">
      <c r="B74" s="558"/>
      <c r="C74" s="558"/>
      <c r="D74" s="560"/>
      <c r="E74" s="555"/>
      <c r="F74" s="555"/>
      <c r="G74" s="555"/>
      <c r="H74" s="555"/>
      <c r="I74" s="555"/>
    </row>
    <row r="75" spans="2:10" ht="20.399999999999999" x14ac:dyDescent="0.3">
      <c r="B75" s="73">
        <v>1</v>
      </c>
      <c r="C75" s="77">
        <v>10</v>
      </c>
      <c r="D75" s="77"/>
      <c r="E75" s="83" t="s">
        <v>25</v>
      </c>
      <c r="F75" s="86">
        <v>7500000</v>
      </c>
      <c r="G75" s="94">
        <f>SUMIF($D$10:$D$65,$C$75,$G$10:$G$65)</f>
        <v>3173491.3300000005</v>
      </c>
      <c r="H75" s="96">
        <f>F75-G75</f>
        <v>4326508.67</v>
      </c>
      <c r="I75" s="84"/>
    </row>
    <row r="76" spans="2:10" ht="20.399999999999999" x14ac:dyDescent="0.35">
      <c r="B76" s="74">
        <v>2</v>
      </c>
      <c r="C76" s="80">
        <v>20</v>
      </c>
      <c r="D76" s="80"/>
      <c r="E76" s="83" t="s">
        <v>26</v>
      </c>
      <c r="F76" s="87">
        <v>1480000</v>
      </c>
      <c r="G76" s="94">
        <f>SUMIF($D$10:$D$65,$C$76,$G$10:$G$65)</f>
        <v>1150000</v>
      </c>
      <c r="H76" s="96">
        <f t="shared" ref="H76:H82" si="0">F76-G76</f>
        <v>330000</v>
      </c>
      <c r="I76" s="84"/>
    </row>
    <row r="77" spans="2:10" ht="20.399999999999999" x14ac:dyDescent="0.35">
      <c r="B77" s="75">
        <v>3</v>
      </c>
      <c r="C77" s="80">
        <v>30</v>
      </c>
      <c r="D77" s="80"/>
      <c r="E77" s="83" t="s">
        <v>48</v>
      </c>
      <c r="F77" s="87">
        <v>400000</v>
      </c>
      <c r="G77" s="94">
        <f>SUMIF($D$10:$D$65,$C$77,$G$10:$G$65)</f>
        <v>0</v>
      </c>
      <c r="H77" s="96">
        <f t="shared" si="0"/>
        <v>400000</v>
      </c>
      <c r="I77" s="81"/>
    </row>
    <row r="78" spans="2:10" ht="20.399999999999999" x14ac:dyDescent="0.35">
      <c r="B78" s="75">
        <v>4</v>
      </c>
      <c r="C78" s="80">
        <v>40</v>
      </c>
      <c r="D78" s="80"/>
      <c r="E78" s="83" t="s">
        <v>49</v>
      </c>
      <c r="F78" s="87">
        <v>180000</v>
      </c>
      <c r="G78" s="94">
        <f>SUMIF($D$10:$D$65,$C$78,$G$10:$G$65)</f>
        <v>0</v>
      </c>
      <c r="H78" s="96">
        <f t="shared" si="0"/>
        <v>180000</v>
      </c>
      <c r="I78" s="81"/>
    </row>
    <row r="79" spans="2:10" ht="20.399999999999999" x14ac:dyDescent="0.35">
      <c r="B79" s="75">
        <v>5</v>
      </c>
      <c r="C79" s="80">
        <v>50</v>
      </c>
      <c r="D79" s="80"/>
      <c r="E79" s="83" t="s">
        <v>47</v>
      </c>
      <c r="F79" s="87">
        <v>242000</v>
      </c>
      <c r="G79" s="94">
        <f>SUMIF($D$10:$D$65,$C$79,$G$10:$G$65)</f>
        <v>0</v>
      </c>
      <c r="H79" s="96">
        <f t="shared" si="0"/>
        <v>242000</v>
      </c>
      <c r="I79" s="81"/>
    </row>
    <row r="80" spans="2:10" ht="20.399999999999999" x14ac:dyDescent="0.35">
      <c r="B80" s="76">
        <v>6</v>
      </c>
      <c r="C80" s="80">
        <v>60</v>
      </c>
      <c r="D80" s="80"/>
      <c r="E80" s="83" t="s">
        <v>51</v>
      </c>
      <c r="F80" s="87">
        <v>25000</v>
      </c>
      <c r="G80" s="94">
        <f>SUMIF($D$10:$D$65,$C$80,$G$10:$G$65)</f>
        <v>13800</v>
      </c>
      <c r="H80" s="96">
        <f t="shared" si="0"/>
        <v>11200</v>
      </c>
      <c r="I80" s="81"/>
    </row>
    <row r="81" spans="2:9" ht="20.399999999999999" x14ac:dyDescent="0.35">
      <c r="B81" s="76">
        <v>7</v>
      </c>
      <c r="C81" s="80">
        <v>70</v>
      </c>
      <c r="D81" s="80"/>
      <c r="E81" s="83" t="s">
        <v>52</v>
      </c>
      <c r="F81" s="87">
        <v>15000</v>
      </c>
      <c r="G81" s="94">
        <f>SUMIF($D$10:$D$65,$C$81,$G$10:$G$65)</f>
        <v>0</v>
      </c>
      <c r="H81" s="96">
        <f t="shared" si="0"/>
        <v>15000</v>
      </c>
      <c r="I81" s="81"/>
    </row>
    <row r="82" spans="2:9" ht="20.399999999999999" x14ac:dyDescent="0.35">
      <c r="B82" s="76">
        <v>8</v>
      </c>
      <c r="C82" s="80">
        <v>80</v>
      </c>
      <c r="D82" s="80"/>
      <c r="E82" s="83" t="s">
        <v>53</v>
      </c>
      <c r="F82" s="87">
        <v>20000</v>
      </c>
      <c r="G82" s="94">
        <f>SUMIF($D$10:$D$65,$C$82,$G$10:$G$65)</f>
        <v>0</v>
      </c>
      <c r="H82" s="96">
        <f t="shared" si="0"/>
        <v>20000</v>
      </c>
      <c r="I82" s="81"/>
    </row>
    <row r="83" spans="2:9" ht="20.399999999999999" x14ac:dyDescent="0.35">
      <c r="B83" s="89"/>
      <c r="C83" s="90"/>
      <c r="D83" s="90"/>
      <c r="E83" s="91" t="s">
        <v>59</v>
      </c>
      <c r="F83" s="92">
        <f>SUM(F75:F82)</f>
        <v>9862000</v>
      </c>
      <c r="G83" s="92">
        <f>SUM(G75:G82)</f>
        <v>4337291.33</v>
      </c>
      <c r="H83" s="97">
        <f>SUM(H75:H82)</f>
        <v>5524708.6699999999</v>
      </c>
      <c r="I83" s="93"/>
    </row>
    <row r="84" spans="2:9" ht="20.399999999999999" x14ac:dyDescent="0.35">
      <c r="B84" s="89"/>
      <c r="C84" s="90"/>
      <c r="D84" s="90"/>
      <c r="E84" s="91" t="s">
        <v>60</v>
      </c>
      <c r="F84" s="88">
        <f>((C72-F83)/C72)</f>
        <v>-25.575047157100514</v>
      </c>
      <c r="G84" s="88"/>
      <c r="H84" s="93"/>
      <c r="I84" s="93"/>
    </row>
    <row r="85" spans="2:9" ht="20.399999999999999" x14ac:dyDescent="0.35">
      <c r="B85" s="89"/>
      <c r="C85" s="90"/>
      <c r="D85" s="90"/>
      <c r="E85" s="91" t="s">
        <v>58</v>
      </c>
      <c r="F85" s="92">
        <f>F84*C72</f>
        <v>-9490900</v>
      </c>
      <c r="G85" s="92"/>
      <c r="H85" s="93"/>
      <c r="I85" s="93"/>
    </row>
    <row r="86" spans="2:9" ht="22.2" x14ac:dyDescent="0.35">
      <c r="B86" s="41"/>
      <c r="C86" s="40"/>
      <c r="D86" s="40"/>
      <c r="E86" s="91" t="s">
        <v>68</v>
      </c>
      <c r="F86" s="194">
        <f>C72-G83</f>
        <v>-3966191.33</v>
      </c>
      <c r="G86" s="95"/>
      <c r="H86" s="81"/>
      <c r="I86" s="81"/>
    </row>
    <row r="87" spans="2:9" ht="15" x14ac:dyDescent="0.25">
      <c r="B87" s="41"/>
      <c r="C87" s="40"/>
      <c r="D87" s="40"/>
      <c r="E87" s="40"/>
      <c r="F87" s="40"/>
      <c r="G87" s="42"/>
      <c r="H87" s="43"/>
      <c r="I87" s="43"/>
    </row>
    <row r="88" spans="2:9" ht="15" x14ac:dyDescent="0.25">
      <c r="B88" s="41"/>
      <c r="C88" s="40"/>
      <c r="D88" s="40"/>
      <c r="E88" s="40"/>
      <c r="F88" s="40"/>
      <c r="G88" s="42"/>
      <c r="H88" s="43"/>
      <c r="I88" s="43"/>
    </row>
    <row r="89" spans="2:9" ht="15" x14ac:dyDescent="0.25">
      <c r="B89" s="41"/>
      <c r="C89" s="40"/>
      <c r="D89" s="40"/>
      <c r="E89" s="40"/>
      <c r="F89" s="40"/>
      <c r="G89" s="42"/>
      <c r="H89" s="43"/>
      <c r="I89" s="43"/>
    </row>
    <row r="90" spans="2:9" ht="15" x14ac:dyDescent="0.25">
      <c r="B90" s="41"/>
      <c r="C90" s="40"/>
      <c r="D90" s="40"/>
      <c r="E90" s="40"/>
      <c r="F90" s="40"/>
      <c r="G90" s="42"/>
      <c r="H90" s="43"/>
      <c r="I90" s="43"/>
    </row>
    <row r="91" spans="2:9" ht="18" x14ac:dyDescent="0.45">
      <c r="B91" s="7"/>
      <c r="C91" s="12"/>
      <c r="D91" s="9"/>
      <c r="E91" s="9"/>
      <c r="F91" s="39"/>
      <c r="G91" s="44"/>
      <c r="H91" s="12"/>
      <c r="I91" s="7"/>
    </row>
    <row r="92" spans="2:9" ht="18" x14ac:dyDescent="0.45">
      <c r="B92" s="7"/>
      <c r="C92" s="12"/>
      <c r="D92" s="9"/>
      <c r="E92" s="9"/>
      <c r="F92" s="45"/>
      <c r="G92" s="46"/>
      <c r="H92" s="12"/>
      <c r="I92" s="7"/>
    </row>
    <row r="93" spans="2:9" ht="18" x14ac:dyDescent="0.45">
      <c r="B93" s="7"/>
      <c r="C93" s="12"/>
      <c r="D93" s="9"/>
      <c r="E93" s="9"/>
      <c r="F93" s="12"/>
      <c r="G93" s="12"/>
      <c r="H93" s="12"/>
      <c r="I93" s="7"/>
    </row>
  </sheetData>
  <mergeCells count="8">
    <mergeCell ref="G73:G74"/>
    <mergeCell ref="H73:H74"/>
    <mergeCell ref="I73:I74"/>
    <mergeCell ref="E4:F5"/>
    <mergeCell ref="B73:B74"/>
    <mergeCell ref="C73:D74"/>
    <mergeCell ref="E73:E74"/>
    <mergeCell ref="F73:F74"/>
  </mergeCells>
  <phoneticPr fontId="28" type="noConversion"/>
  <conditionalFormatting sqref="H75:H83">
    <cfRule type="cellIs" dxfId="58" priority="1" operator="lessThan">
      <formula>0</formula>
    </cfRule>
    <cfRule type="cellIs" dxfId="57" priority="2" operator="greater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BA35-B6B9-4C82-8BA5-BE514DE41217}">
  <sheetPr>
    <tabColor theme="2" tint="-0.749992370372631"/>
  </sheetPr>
  <dimension ref="B1:I93"/>
  <sheetViews>
    <sheetView topLeftCell="A83" zoomScale="70" zoomScaleNormal="70" workbookViewId="0">
      <selection activeCell="H41" sqref="H41"/>
    </sheetView>
  </sheetViews>
  <sheetFormatPr defaultRowHeight="23.4" x14ac:dyDescent="0.6"/>
  <cols>
    <col min="1" max="1" width="8.796875" style="229"/>
    <col min="2" max="2" width="26" style="342" customWidth="1"/>
    <col min="3" max="3" width="24.19921875" style="342" customWidth="1"/>
    <col min="4" max="4" width="17.5" style="342" customWidth="1"/>
    <col min="5" max="5" width="50.5" style="342" customWidth="1"/>
    <col min="6" max="7" width="33" style="342" customWidth="1"/>
    <col min="8" max="8" width="24.59765625" style="342" customWidth="1"/>
    <col min="9" max="9" width="22.19921875" style="350" customWidth="1"/>
    <col min="10" max="16384" width="8.796875" style="229"/>
  </cols>
  <sheetData>
    <row r="1" spans="2:9" x14ac:dyDescent="0.6">
      <c r="B1" s="281" t="s">
        <v>0</v>
      </c>
      <c r="C1" s="282" t="s">
        <v>21</v>
      </c>
      <c r="D1" s="282"/>
      <c r="E1" s="282"/>
      <c r="F1" s="204"/>
      <c r="G1" s="204"/>
      <c r="H1" s="283">
        <f>+F13</f>
        <v>0</v>
      </c>
      <c r="I1" s="284">
        <v>45336</v>
      </c>
    </row>
    <row r="2" spans="2:9" x14ac:dyDescent="0.6">
      <c r="B2" s="285" t="s">
        <v>2</v>
      </c>
      <c r="C2" s="286" t="s">
        <v>33</v>
      </c>
      <c r="D2" s="286"/>
      <c r="E2" s="286"/>
      <c r="F2" s="204"/>
      <c r="G2" s="204"/>
      <c r="H2" s="283" t="s">
        <v>3</v>
      </c>
      <c r="I2" s="287"/>
    </row>
    <row r="3" spans="2:9" x14ac:dyDescent="0.6">
      <c r="B3" s="285" t="s">
        <v>74</v>
      </c>
      <c r="C3" s="286" t="s">
        <v>77</v>
      </c>
      <c r="D3" s="288"/>
      <c r="E3" s="288"/>
      <c r="F3" s="286"/>
      <c r="G3" s="286"/>
      <c r="H3" s="286"/>
      <c r="I3" s="288"/>
    </row>
    <row r="4" spans="2:9" x14ac:dyDescent="0.6">
      <c r="B4" s="285" t="s">
        <v>4</v>
      </c>
      <c r="C4" s="289"/>
      <c r="D4" s="288"/>
      <c r="E4" s="575" t="s">
        <v>5</v>
      </c>
      <c r="F4" s="575"/>
      <c r="G4" s="286"/>
      <c r="H4" s="290" t="s">
        <v>6</v>
      </c>
      <c r="I4" s="291">
        <v>0</v>
      </c>
    </row>
    <row r="5" spans="2:9" x14ac:dyDescent="0.6">
      <c r="B5" s="285" t="s">
        <v>7</v>
      </c>
      <c r="C5" s="292">
        <f>C72</f>
        <v>26000</v>
      </c>
      <c r="D5" s="288"/>
      <c r="E5" s="575"/>
      <c r="F5" s="575"/>
      <c r="G5" s="204"/>
      <c r="H5" s="286"/>
      <c r="I5" s="288"/>
    </row>
    <row r="6" spans="2:9" x14ac:dyDescent="0.6">
      <c r="B6" s="285" t="s">
        <v>8</v>
      </c>
      <c r="C6" s="292">
        <v>2930000</v>
      </c>
      <c r="D6" s="286"/>
      <c r="E6" s="289"/>
      <c r="F6" s="204"/>
      <c r="G6" s="204"/>
      <c r="H6" s="286"/>
      <c r="I6" s="288"/>
    </row>
    <row r="7" spans="2:9" x14ac:dyDescent="0.6">
      <c r="B7" s="293" t="s">
        <v>9</v>
      </c>
      <c r="C7" s="294">
        <f>(C5-C6)/C5</f>
        <v>-111.69230769230769</v>
      </c>
      <c r="D7" s="293" t="s">
        <v>10</v>
      </c>
      <c r="E7" s="295">
        <v>1</v>
      </c>
      <c r="F7" s="286"/>
      <c r="G7" s="286"/>
      <c r="H7" s="286"/>
      <c r="I7" s="288"/>
    </row>
    <row r="8" spans="2:9" x14ac:dyDescent="0.6">
      <c r="B8" s="296" t="s">
        <v>63</v>
      </c>
      <c r="C8" s="297" t="s">
        <v>11</v>
      </c>
      <c r="D8" s="297" t="s">
        <v>12</v>
      </c>
      <c r="E8" s="297" t="s">
        <v>13</v>
      </c>
      <c r="F8" s="297" t="s">
        <v>32</v>
      </c>
      <c r="G8" s="297" t="s">
        <v>14</v>
      </c>
      <c r="H8" s="296" t="s">
        <v>15</v>
      </c>
      <c r="I8" s="296" t="s">
        <v>16</v>
      </c>
    </row>
    <row r="9" spans="2:9" x14ac:dyDescent="0.6">
      <c r="B9" s="298"/>
      <c r="C9" s="299"/>
      <c r="D9" s="299"/>
      <c r="E9" s="299"/>
      <c r="F9" s="299"/>
      <c r="G9" s="300"/>
      <c r="H9" s="301"/>
      <c r="I9" s="343"/>
    </row>
    <row r="10" spans="2:9" x14ac:dyDescent="0.6">
      <c r="B10" s="302">
        <v>1</v>
      </c>
      <c r="C10" s="208" t="s">
        <v>41</v>
      </c>
      <c r="D10" s="209">
        <v>10</v>
      </c>
      <c r="E10" s="210" t="s">
        <v>61</v>
      </c>
      <c r="F10" s="210" t="s">
        <v>45</v>
      </c>
      <c r="G10" s="211">
        <v>546041.19999999995</v>
      </c>
      <c r="H10" s="212" t="s">
        <v>37</v>
      </c>
      <c r="I10" s="344">
        <v>45748</v>
      </c>
    </row>
    <row r="11" spans="2:9" x14ac:dyDescent="0.6">
      <c r="B11" s="303">
        <v>2</v>
      </c>
      <c r="C11" s="304" t="s">
        <v>216</v>
      </c>
      <c r="D11" s="305">
        <v>10</v>
      </c>
      <c r="E11" s="304" t="s">
        <v>217</v>
      </c>
      <c r="F11" s="304" t="s">
        <v>218</v>
      </c>
      <c r="G11" s="306">
        <v>245000</v>
      </c>
      <c r="H11" s="307" t="s">
        <v>17</v>
      </c>
      <c r="I11" s="344">
        <v>45798</v>
      </c>
    </row>
    <row r="12" spans="2:9" x14ac:dyDescent="0.6">
      <c r="B12" s="303">
        <v>3</v>
      </c>
      <c r="C12" s="304"/>
      <c r="D12" s="305"/>
      <c r="E12" s="304"/>
      <c r="F12" s="304"/>
      <c r="G12" s="306"/>
      <c r="H12" s="307"/>
      <c r="I12" s="345"/>
    </row>
    <row r="13" spans="2:9" x14ac:dyDescent="0.6">
      <c r="B13" s="302">
        <v>4</v>
      </c>
      <c r="C13" s="308"/>
      <c r="D13" s="309"/>
      <c r="E13" s="308"/>
      <c r="F13" s="308"/>
      <c r="G13" s="310"/>
      <c r="H13" s="307"/>
      <c r="I13" s="345"/>
    </row>
    <row r="14" spans="2:9" x14ac:dyDescent="0.6">
      <c r="B14" s="303">
        <v>5</v>
      </c>
      <c r="C14" s="308"/>
      <c r="D14" s="309"/>
      <c r="E14" s="308"/>
      <c r="F14" s="308"/>
      <c r="G14" s="310"/>
      <c r="H14" s="307"/>
      <c r="I14" s="345"/>
    </row>
    <row r="15" spans="2:9" x14ac:dyDescent="0.6">
      <c r="B15" s="303">
        <v>6</v>
      </c>
      <c r="C15" s="308"/>
      <c r="D15" s="309"/>
      <c r="E15" s="308"/>
      <c r="F15" s="308"/>
      <c r="G15" s="310"/>
      <c r="H15" s="307"/>
      <c r="I15" s="345"/>
    </row>
    <row r="16" spans="2:9" x14ac:dyDescent="0.6">
      <c r="B16" s="302">
        <v>7</v>
      </c>
      <c r="C16" s="308"/>
      <c r="D16" s="309"/>
      <c r="E16" s="308"/>
      <c r="F16" s="308"/>
      <c r="G16" s="310"/>
      <c r="H16" s="307"/>
      <c r="I16" s="345"/>
    </row>
    <row r="17" spans="2:9" x14ac:dyDescent="0.6">
      <c r="B17" s="303">
        <v>8</v>
      </c>
      <c r="C17" s="311"/>
      <c r="D17" s="305"/>
      <c r="E17" s="311"/>
      <c r="F17" s="311"/>
      <c r="G17" s="312"/>
      <c r="H17" s="307"/>
      <c r="I17" s="313"/>
    </row>
    <row r="18" spans="2:9" x14ac:dyDescent="0.6">
      <c r="B18" s="303">
        <v>9</v>
      </c>
      <c r="C18" s="314"/>
      <c r="D18" s="309"/>
      <c r="E18" s="314"/>
      <c r="F18" s="314"/>
      <c r="G18" s="315"/>
      <c r="H18" s="316"/>
      <c r="I18" s="346"/>
    </row>
    <row r="19" spans="2:9" x14ac:dyDescent="0.6">
      <c r="B19" s="302">
        <v>10</v>
      </c>
      <c r="C19" s="314"/>
      <c r="D19" s="309"/>
      <c r="E19" s="314"/>
      <c r="F19" s="314"/>
      <c r="G19" s="315"/>
      <c r="H19" s="316"/>
      <c r="I19" s="346"/>
    </row>
    <row r="20" spans="2:9" x14ac:dyDescent="0.6">
      <c r="B20" s="303">
        <v>11</v>
      </c>
      <c r="C20" s="314"/>
      <c r="D20" s="309"/>
      <c r="E20" s="314"/>
      <c r="F20" s="314"/>
      <c r="G20" s="315"/>
      <c r="H20" s="316"/>
      <c r="I20" s="346"/>
    </row>
    <row r="21" spans="2:9" x14ac:dyDescent="0.6">
      <c r="B21" s="303">
        <v>12</v>
      </c>
      <c r="C21" s="314"/>
      <c r="D21" s="309"/>
      <c r="E21" s="314"/>
      <c r="F21" s="314"/>
      <c r="G21" s="315"/>
      <c r="H21" s="316"/>
      <c r="I21" s="346"/>
    </row>
    <row r="22" spans="2:9" x14ac:dyDescent="0.6">
      <c r="B22" s="302">
        <v>13</v>
      </c>
      <c r="C22" s="314"/>
      <c r="D22" s="309"/>
      <c r="E22" s="314"/>
      <c r="F22" s="314"/>
      <c r="G22" s="315"/>
      <c r="H22" s="316"/>
      <c r="I22" s="346"/>
    </row>
    <row r="23" spans="2:9" x14ac:dyDescent="0.6">
      <c r="B23" s="303">
        <v>14</v>
      </c>
      <c r="C23" s="314"/>
      <c r="D23" s="309"/>
      <c r="E23" s="314"/>
      <c r="F23" s="314"/>
      <c r="G23" s="315"/>
      <c r="H23" s="316"/>
      <c r="I23" s="346"/>
    </row>
    <row r="24" spans="2:9" x14ac:dyDescent="0.6">
      <c r="B24" s="303">
        <v>15</v>
      </c>
      <c r="C24" s="314"/>
      <c r="D24" s="309"/>
      <c r="E24" s="314"/>
      <c r="F24" s="314"/>
      <c r="G24" s="315"/>
      <c r="H24" s="316"/>
      <c r="I24" s="346"/>
    </row>
    <row r="25" spans="2:9" x14ac:dyDescent="0.6">
      <c r="B25" s="302">
        <v>16</v>
      </c>
      <c r="C25" s="314"/>
      <c r="D25" s="309"/>
      <c r="E25" s="314"/>
      <c r="F25" s="314"/>
      <c r="G25" s="315"/>
      <c r="H25" s="316"/>
      <c r="I25" s="346"/>
    </row>
    <row r="26" spans="2:9" x14ac:dyDescent="0.6">
      <c r="B26" s="303">
        <v>17</v>
      </c>
      <c r="C26" s="314"/>
      <c r="D26" s="309"/>
      <c r="E26" s="314"/>
      <c r="F26" s="314"/>
      <c r="G26" s="315"/>
      <c r="H26" s="316"/>
      <c r="I26" s="346"/>
    </row>
    <row r="27" spans="2:9" x14ac:dyDescent="0.6">
      <c r="B27" s="303">
        <v>18</v>
      </c>
      <c r="C27" s="314"/>
      <c r="D27" s="309"/>
      <c r="E27" s="314"/>
      <c r="F27" s="314"/>
      <c r="G27" s="315"/>
      <c r="H27" s="316"/>
      <c r="I27" s="346"/>
    </row>
    <row r="28" spans="2:9" x14ac:dyDescent="0.6">
      <c r="B28" s="302">
        <v>19</v>
      </c>
      <c r="C28" s="314"/>
      <c r="D28" s="309"/>
      <c r="E28" s="314"/>
      <c r="F28" s="314"/>
      <c r="G28" s="315"/>
      <c r="H28" s="316"/>
      <c r="I28" s="346"/>
    </row>
    <row r="29" spans="2:9" x14ac:dyDescent="0.6">
      <c r="B29" s="303">
        <v>20</v>
      </c>
      <c r="C29" s="314"/>
      <c r="D29" s="309"/>
      <c r="E29" s="314"/>
      <c r="F29" s="314"/>
      <c r="G29" s="315"/>
      <c r="H29" s="316"/>
      <c r="I29" s="346"/>
    </row>
    <row r="30" spans="2:9" x14ac:dyDescent="0.6">
      <c r="B30" s="303">
        <v>21</v>
      </c>
      <c r="C30" s="314"/>
      <c r="D30" s="309"/>
      <c r="E30" s="314"/>
      <c r="F30" s="314"/>
      <c r="G30" s="315"/>
      <c r="H30" s="316"/>
      <c r="I30" s="346"/>
    </row>
    <row r="31" spans="2:9" x14ac:dyDescent="0.6">
      <c r="B31" s="302">
        <v>22</v>
      </c>
      <c r="C31" s="314"/>
      <c r="D31" s="309"/>
      <c r="E31" s="314"/>
      <c r="F31" s="314"/>
      <c r="G31" s="315"/>
      <c r="H31" s="316"/>
      <c r="I31" s="346"/>
    </row>
    <row r="32" spans="2:9" x14ac:dyDescent="0.6">
      <c r="B32" s="303">
        <v>23</v>
      </c>
      <c r="C32" s="314"/>
      <c r="D32" s="309"/>
      <c r="E32" s="314"/>
      <c r="F32" s="314"/>
      <c r="G32" s="315"/>
      <c r="H32" s="316"/>
      <c r="I32" s="346"/>
    </row>
    <row r="33" spans="2:9" x14ac:dyDescent="0.6">
      <c r="B33" s="303">
        <v>24</v>
      </c>
      <c r="C33" s="314"/>
      <c r="D33" s="309"/>
      <c r="E33" s="314"/>
      <c r="F33" s="314"/>
      <c r="G33" s="315"/>
      <c r="H33" s="316"/>
      <c r="I33" s="346"/>
    </row>
    <row r="34" spans="2:9" x14ac:dyDescent="0.6">
      <c r="B34" s="302">
        <v>25</v>
      </c>
      <c r="C34" s="314"/>
      <c r="D34" s="309"/>
      <c r="E34" s="314"/>
      <c r="F34" s="314"/>
      <c r="G34" s="315"/>
      <c r="H34" s="316"/>
      <c r="I34" s="346"/>
    </row>
    <row r="35" spans="2:9" x14ac:dyDescent="0.6">
      <c r="B35" s="303">
        <v>26</v>
      </c>
      <c r="C35" s="314"/>
      <c r="D35" s="309"/>
      <c r="E35" s="314"/>
      <c r="F35" s="314"/>
      <c r="G35" s="315"/>
      <c r="H35" s="316"/>
      <c r="I35" s="346"/>
    </row>
    <row r="36" spans="2:9" x14ac:dyDescent="0.6">
      <c r="B36" s="302">
        <v>27</v>
      </c>
      <c r="C36" s="314"/>
      <c r="D36" s="309"/>
      <c r="E36" s="314"/>
      <c r="F36" s="314"/>
      <c r="G36" s="315"/>
      <c r="H36" s="316"/>
      <c r="I36" s="346"/>
    </row>
    <row r="37" spans="2:9" x14ac:dyDescent="0.6">
      <c r="B37" s="303">
        <v>28</v>
      </c>
      <c r="C37" s="314"/>
      <c r="D37" s="309"/>
      <c r="E37" s="314"/>
      <c r="F37" s="314"/>
      <c r="G37" s="315"/>
      <c r="H37" s="316"/>
      <c r="I37" s="346"/>
    </row>
    <row r="38" spans="2:9" x14ac:dyDescent="0.6">
      <c r="B38" s="303">
        <v>29</v>
      </c>
      <c r="C38" s="314"/>
      <c r="D38" s="309"/>
      <c r="E38" s="314"/>
      <c r="F38" s="314"/>
      <c r="G38" s="315"/>
      <c r="H38" s="316"/>
      <c r="I38" s="346"/>
    </row>
    <row r="39" spans="2:9" x14ac:dyDescent="0.6">
      <c r="B39" s="302">
        <v>30</v>
      </c>
      <c r="C39" s="314"/>
      <c r="D39" s="309"/>
      <c r="E39" s="314"/>
      <c r="F39" s="314"/>
      <c r="G39" s="315"/>
      <c r="H39" s="316"/>
      <c r="I39" s="346"/>
    </row>
    <row r="40" spans="2:9" x14ac:dyDescent="0.6">
      <c r="B40" s="303">
        <v>31</v>
      </c>
      <c r="C40" s="314"/>
      <c r="D40" s="309"/>
      <c r="E40" s="314"/>
      <c r="F40" s="314"/>
      <c r="G40" s="315"/>
      <c r="H40" s="316"/>
      <c r="I40" s="346"/>
    </row>
    <row r="41" spans="2:9" x14ac:dyDescent="0.6">
      <c r="B41" s="303">
        <v>32</v>
      </c>
      <c r="C41" s="314"/>
      <c r="D41" s="309"/>
      <c r="E41" s="314"/>
      <c r="F41" s="314"/>
      <c r="G41" s="315"/>
      <c r="H41" s="316"/>
      <c r="I41" s="346"/>
    </row>
    <row r="42" spans="2:9" x14ac:dyDescent="0.6">
      <c r="B42" s="302">
        <v>33</v>
      </c>
      <c r="C42" s="314"/>
      <c r="D42" s="309"/>
      <c r="E42" s="314"/>
      <c r="F42" s="314"/>
      <c r="G42" s="315"/>
      <c r="H42" s="316"/>
      <c r="I42" s="346"/>
    </row>
    <row r="43" spans="2:9" x14ac:dyDescent="0.6">
      <c r="B43" s="303">
        <v>34</v>
      </c>
      <c r="C43" s="314"/>
      <c r="D43" s="309"/>
      <c r="E43" s="314"/>
      <c r="F43" s="314"/>
      <c r="G43" s="315"/>
      <c r="H43" s="316"/>
      <c r="I43" s="346"/>
    </row>
    <row r="44" spans="2:9" x14ac:dyDescent="0.6">
      <c r="B44" s="303">
        <v>35</v>
      </c>
      <c r="C44" s="314"/>
      <c r="D44" s="309"/>
      <c r="E44" s="314"/>
      <c r="F44" s="314"/>
      <c r="G44" s="315"/>
      <c r="H44" s="316"/>
      <c r="I44" s="346"/>
    </row>
    <row r="45" spans="2:9" x14ac:dyDescent="0.6">
      <c r="B45" s="302">
        <v>36</v>
      </c>
      <c r="C45" s="314"/>
      <c r="D45" s="309"/>
      <c r="E45" s="314"/>
      <c r="F45" s="314"/>
      <c r="G45" s="315"/>
      <c r="H45" s="316"/>
      <c r="I45" s="346"/>
    </row>
    <row r="46" spans="2:9" x14ac:dyDescent="0.6">
      <c r="B46" s="303">
        <v>37</v>
      </c>
      <c r="C46" s="314"/>
      <c r="D46" s="309"/>
      <c r="E46" s="314"/>
      <c r="F46" s="314"/>
      <c r="G46" s="315"/>
      <c r="H46" s="316"/>
      <c r="I46" s="346"/>
    </row>
    <row r="47" spans="2:9" x14ac:dyDescent="0.6">
      <c r="B47" s="303">
        <v>38</v>
      </c>
      <c r="C47" s="314"/>
      <c r="D47" s="309"/>
      <c r="E47" s="314"/>
      <c r="F47" s="314"/>
      <c r="G47" s="315"/>
      <c r="H47" s="316"/>
      <c r="I47" s="346"/>
    </row>
    <row r="48" spans="2:9" x14ac:dyDescent="0.6">
      <c r="B48" s="302">
        <v>39</v>
      </c>
      <c r="C48" s="314"/>
      <c r="D48" s="309"/>
      <c r="E48" s="314"/>
      <c r="F48" s="314"/>
      <c r="G48" s="315"/>
      <c r="H48" s="316"/>
      <c r="I48" s="346"/>
    </row>
    <row r="49" spans="2:9" x14ac:dyDescent="0.6">
      <c r="B49" s="303">
        <v>40</v>
      </c>
      <c r="C49" s="314"/>
      <c r="D49" s="309"/>
      <c r="E49" s="314"/>
      <c r="F49" s="314"/>
      <c r="G49" s="315"/>
      <c r="H49" s="316"/>
      <c r="I49" s="346"/>
    </row>
    <row r="50" spans="2:9" x14ac:dyDescent="0.6">
      <c r="B50" s="303">
        <v>41</v>
      </c>
      <c r="C50" s="314"/>
      <c r="D50" s="309"/>
      <c r="E50" s="314"/>
      <c r="F50" s="314"/>
      <c r="G50" s="315"/>
      <c r="H50" s="316"/>
      <c r="I50" s="346"/>
    </row>
    <row r="51" spans="2:9" x14ac:dyDescent="0.6">
      <c r="B51" s="317"/>
      <c r="C51" s="314"/>
      <c r="D51" s="309"/>
      <c r="E51" s="314"/>
      <c r="F51" s="314"/>
      <c r="G51" s="315"/>
      <c r="H51" s="316"/>
      <c r="I51" s="346"/>
    </row>
    <row r="52" spans="2:9" x14ac:dyDescent="0.6">
      <c r="B52" s="317"/>
      <c r="C52" s="314"/>
      <c r="D52" s="309"/>
      <c r="E52" s="314"/>
      <c r="F52" s="314"/>
      <c r="G52" s="315"/>
      <c r="H52" s="316"/>
      <c r="I52" s="346"/>
    </row>
    <row r="53" spans="2:9" x14ac:dyDescent="0.6">
      <c r="B53" s="317"/>
      <c r="C53" s="314"/>
      <c r="D53" s="309"/>
      <c r="E53" s="314"/>
      <c r="F53" s="314"/>
      <c r="G53" s="315"/>
      <c r="H53" s="316"/>
      <c r="I53" s="346"/>
    </row>
    <row r="54" spans="2:9" x14ac:dyDescent="0.6">
      <c r="B54" s="317"/>
      <c r="C54" s="314"/>
      <c r="D54" s="309"/>
      <c r="E54" s="314"/>
      <c r="F54" s="314"/>
      <c r="G54" s="315"/>
      <c r="H54" s="316"/>
      <c r="I54" s="346"/>
    </row>
    <row r="55" spans="2:9" x14ac:dyDescent="0.6">
      <c r="B55" s="317"/>
      <c r="C55" s="314"/>
      <c r="D55" s="309"/>
      <c r="E55" s="314"/>
      <c r="F55" s="314"/>
      <c r="G55" s="315"/>
      <c r="H55" s="316"/>
      <c r="I55" s="346"/>
    </row>
    <row r="56" spans="2:9" x14ac:dyDescent="0.6">
      <c r="B56" s="317"/>
      <c r="C56" s="314"/>
      <c r="D56" s="309"/>
      <c r="E56" s="314"/>
      <c r="F56" s="314"/>
      <c r="G56" s="315"/>
      <c r="H56" s="316"/>
      <c r="I56" s="346"/>
    </row>
    <row r="57" spans="2:9" x14ac:dyDescent="0.6">
      <c r="B57" s="317"/>
      <c r="C57" s="314"/>
      <c r="D57" s="309"/>
      <c r="E57" s="314"/>
      <c r="F57" s="314"/>
      <c r="G57" s="315"/>
      <c r="H57" s="316"/>
      <c r="I57" s="346"/>
    </row>
    <row r="58" spans="2:9" x14ac:dyDescent="0.6">
      <c r="B58" s="317"/>
      <c r="C58" s="314"/>
      <c r="D58" s="309"/>
      <c r="E58" s="314"/>
      <c r="F58" s="314"/>
      <c r="G58" s="315"/>
      <c r="H58" s="316"/>
      <c r="I58" s="346"/>
    </row>
    <row r="59" spans="2:9" x14ac:dyDescent="0.6">
      <c r="B59" s="317"/>
      <c r="C59" s="314"/>
      <c r="D59" s="309"/>
      <c r="E59" s="314"/>
      <c r="F59" s="314"/>
      <c r="G59" s="315"/>
      <c r="H59" s="316"/>
      <c r="I59" s="346"/>
    </row>
    <row r="60" spans="2:9" x14ac:dyDescent="0.6">
      <c r="B60" s="317"/>
      <c r="C60" s="314"/>
      <c r="D60" s="309"/>
      <c r="E60" s="314"/>
      <c r="F60" s="314"/>
      <c r="G60" s="315"/>
      <c r="H60" s="316"/>
      <c r="I60" s="346"/>
    </row>
    <row r="61" spans="2:9" x14ac:dyDescent="0.6">
      <c r="B61" s="317"/>
      <c r="C61" s="314"/>
      <c r="D61" s="309"/>
      <c r="E61" s="314"/>
      <c r="F61" s="314"/>
      <c r="G61" s="315"/>
      <c r="H61" s="316"/>
      <c r="I61" s="346"/>
    </row>
    <row r="62" spans="2:9" x14ac:dyDescent="0.6">
      <c r="B62" s="317"/>
      <c r="C62" s="314"/>
      <c r="D62" s="309"/>
      <c r="E62" s="314"/>
      <c r="F62" s="314"/>
      <c r="G62" s="315"/>
      <c r="H62" s="316"/>
      <c r="I62" s="346"/>
    </row>
    <row r="63" spans="2:9" x14ac:dyDescent="0.6">
      <c r="B63" s="317"/>
      <c r="C63" s="314"/>
      <c r="D63" s="309"/>
      <c r="E63" s="314"/>
      <c r="F63" s="314"/>
      <c r="G63" s="315"/>
      <c r="H63" s="316"/>
      <c r="I63" s="346"/>
    </row>
    <row r="64" spans="2:9" x14ac:dyDescent="0.6">
      <c r="B64" s="317"/>
      <c r="C64" s="314"/>
      <c r="D64" s="309"/>
      <c r="E64" s="314"/>
      <c r="F64" s="314"/>
      <c r="G64" s="315"/>
      <c r="H64" s="316"/>
      <c r="I64" s="346"/>
    </row>
    <row r="65" spans="2:9" x14ac:dyDescent="0.6">
      <c r="B65" s="317"/>
      <c r="C65" s="314"/>
      <c r="D65" s="309"/>
      <c r="E65" s="314"/>
      <c r="F65" s="314"/>
      <c r="G65" s="315"/>
      <c r="H65" s="316"/>
      <c r="I65" s="346"/>
    </row>
    <row r="66" spans="2:9" x14ac:dyDescent="0.6">
      <c r="B66" s="286"/>
      <c r="C66" s="286"/>
      <c r="D66" s="288"/>
      <c r="E66" s="288"/>
      <c r="F66" s="318" t="s">
        <v>18</v>
      </c>
      <c r="G66" s="319">
        <f>SUM(G9:G65)</f>
        <v>791041.2</v>
      </c>
      <c r="H66" s="286"/>
      <c r="I66" s="288"/>
    </row>
    <row r="67" spans="2:9" x14ac:dyDescent="0.6">
      <c r="B67" s="286"/>
      <c r="C67" s="286"/>
      <c r="D67" s="288"/>
      <c r="E67" s="288"/>
      <c r="F67" s="320" t="s">
        <v>19</v>
      </c>
      <c r="G67" s="321">
        <f>$C$6-G66</f>
        <v>2138958.7999999998</v>
      </c>
      <c r="H67" s="286"/>
      <c r="I67" s="288"/>
    </row>
    <row r="68" spans="2:9" x14ac:dyDescent="0.6">
      <c r="B68" s="286"/>
      <c r="C68" s="286"/>
      <c r="D68" s="288"/>
      <c r="E68" s="288"/>
      <c r="F68" s="286"/>
      <c r="G68" s="286"/>
      <c r="H68" s="286"/>
      <c r="I68" s="288"/>
    </row>
    <row r="69" spans="2:9" x14ac:dyDescent="0.6">
      <c r="B69" s="286"/>
      <c r="C69" s="286"/>
      <c r="D69" s="288"/>
      <c r="E69" s="288"/>
      <c r="F69" s="293" t="s">
        <v>20</v>
      </c>
      <c r="G69" s="322">
        <f>G67/C6</f>
        <v>0.73002006825938559</v>
      </c>
      <c r="H69" s="285"/>
      <c r="I69" s="288"/>
    </row>
    <row r="70" spans="2:9" x14ac:dyDescent="0.6">
      <c r="B70" s="285"/>
      <c r="C70" s="292"/>
      <c r="D70" s="288"/>
      <c r="E70" s="204"/>
      <c r="F70" s="204"/>
      <c r="G70" s="204"/>
      <c r="H70" s="286"/>
      <c r="I70" s="288"/>
    </row>
    <row r="71" spans="2:9" x14ac:dyDescent="0.6">
      <c r="B71" s="323" t="s">
        <v>79</v>
      </c>
      <c r="C71" s="324" t="str">
        <f>'All Job balance report'!B6</f>
        <v>QMP-2500/001</v>
      </c>
      <c r="D71" s="286"/>
      <c r="E71" s="289"/>
      <c r="F71" s="204"/>
      <c r="G71" s="204"/>
      <c r="H71" s="286"/>
      <c r="I71" s="288"/>
    </row>
    <row r="72" spans="2:9" ht="33" customHeight="1" x14ac:dyDescent="0.6">
      <c r="B72" s="325" t="s">
        <v>7</v>
      </c>
      <c r="C72" s="326">
        <f>'All Job balance report'!G6</f>
        <v>26000</v>
      </c>
      <c r="D72" s="293"/>
      <c r="E72" s="295"/>
      <c r="F72" s="286"/>
      <c r="G72" s="286"/>
      <c r="H72" s="286"/>
      <c r="I72" s="288"/>
    </row>
    <row r="73" spans="2:9" ht="26.4" customHeight="1" x14ac:dyDescent="0.6">
      <c r="B73" s="576" t="s">
        <v>23</v>
      </c>
      <c r="C73" s="576" t="s">
        <v>28</v>
      </c>
      <c r="D73" s="578"/>
      <c r="E73" s="574" t="s">
        <v>13</v>
      </c>
      <c r="F73" s="574" t="s">
        <v>54</v>
      </c>
      <c r="G73" s="574" t="s">
        <v>55</v>
      </c>
      <c r="H73" s="574" t="s">
        <v>56</v>
      </c>
      <c r="I73" s="574" t="s">
        <v>57</v>
      </c>
    </row>
    <row r="74" spans="2:9" ht="26.4" customHeight="1" x14ac:dyDescent="0.6">
      <c r="B74" s="577"/>
      <c r="C74" s="577"/>
      <c r="D74" s="579"/>
      <c r="E74" s="574"/>
      <c r="F74" s="574"/>
      <c r="G74" s="574"/>
      <c r="H74" s="574"/>
      <c r="I74" s="574"/>
    </row>
    <row r="75" spans="2:9" ht="26.4" customHeight="1" x14ac:dyDescent="0.6">
      <c r="B75" s="327">
        <v>1</v>
      </c>
      <c r="C75" s="328">
        <v>10</v>
      </c>
      <c r="D75" s="328"/>
      <c r="E75" s="329" t="s">
        <v>25</v>
      </c>
      <c r="F75" s="218">
        <v>1800000</v>
      </c>
      <c r="G75" s="330">
        <f>SUMIF($D$10:$D$65,$C$75,$G$10:$G$65)</f>
        <v>791041.2</v>
      </c>
      <c r="H75" s="331">
        <f>F75-G75</f>
        <v>1008958.8</v>
      </c>
      <c r="I75" s="347"/>
    </row>
    <row r="76" spans="2:9" ht="26.4" customHeight="1" x14ac:dyDescent="0.6">
      <c r="B76" s="332">
        <v>2</v>
      </c>
      <c r="C76" s="333">
        <v>20</v>
      </c>
      <c r="D76" s="333"/>
      <c r="E76" s="329" t="s">
        <v>26</v>
      </c>
      <c r="F76" s="221">
        <v>500000</v>
      </c>
      <c r="G76" s="330">
        <f>SUMIF($D$10:$D$65,$C$76,$G$10:$G$65)</f>
        <v>0</v>
      </c>
      <c r="H76" s="331">
        <f t="shared" ref="H76:H82" si="0">F76-G76</f>
        <v>500000</v>
      </c>
      <c r="I76" s="347"/>
    </row>
    <row r="77" spans="2:9" ht="26.4" customHeight="1" x14ac:dyDescent="0.6">
      <c r="B77" s="332">
        <v>3</v>
      </c>
      <c r="C77" s="333">
        <v>30</v>
      </c>
      <c r="D77" s="333"/>
      <c r="E77" s="329" t="s">
        <v>48</v>
      </c>
      <c r="F77" s="221">
        <v>50000</v>
      </c>
      <c r="G77" s="330">
        <f>SUMIF($D$10:$D$65,$C$77,$G$10:$G$65)</f>
        <v>0</v>
      </c>
      <c r="H77" s="331">
        <f t="shared" si="0"/>
        <v>50000</v>
      </c>
      <c r="I77" s="348"/>
    </row>
    <row r="78" spans="2:9" ht="26.4" customHeight="1" x14ac:dyDescent="0.6">
      <c r="B78" s="332">
        <v>4</v>
      </c>
      <c r="C78" s="333">
        <v>40</v>
      </c>
      <c r="D78" s="333"/>
      <c r="E78" s="329" t="s">
        <v>49</v>
      </c>
      <c r="F78" s="221">
        <v>30000</v>
      </c>
      <c r="G78" s="330">
        <f>SUMIF($D$10:$D$65,$C$78,$G$10:$G$65)</f>
        <v>0</v>
      </c>
      <c r="H78" s="331">
        <f t="shared" si="0"/>
        <v>30000</v>
      </c>
      <c r="I78" s="348"/>
    </row>
    <row r="79" spans="2:9" ht="26.4" customHeight="1" x14ac:dyDescent="0.6">
      <c r="B79" s="332">
        <v>5</v>
      </c>
      <c r="C79" s="333">
        <v>50</v>
      </c>
      <c r="D79" s="333"/>
      <c r="E79" s="329" t="s">
        <v>47</v>
      </c>
      <c r="F79" s="221">
        <v>450000</v>
      </c>
      <c r="G79" s="330">
        <f>SUMIF($D$10:$D$65,$C$79,$G$10:$G$65)</f>
        <v>0</v>
      </c>
      <c r="H79" s="331">
        <f t="shared" si="0"/>
        <v>450000</v>
      </c>
      <c r="I79" s="348"/>
    </row>
    <row r="80" spans="2:9" ht="26.4" customHeight="1" x14ac:dyDescent="0.6">
      <c r="B80" s="334">
        <v>6</v>
      </c>
      <c r="C80" s="333">
        <v>60</v>
      </c>
      <c r="D80" s="333"/>
      <c r="E80" s="329" t="s">
        <v>51</v>
      </c>
      <c r="F80" s="221">
        <v>60000</v>
      </c>
      <c r="G80" s="330">
        <f>SUMIF($D$10:$D$65,$C$80,$G$10:$G$65)</f>
        <v>0</v>
      </c>
      <c r="H80" s="331">
        <f t="shared" si="0"/>
        <v>60000</v>
      </c>
      <c r="I80" s="348"/>
    </row>
    <row r="81" spans="2:9" ht="26.4" customHeight="1" x14ac:dyDescent="0.6">
      <c r="B81" s="334">
        <v>7</v>
      </c>
      <c r="C81" s="333">
        <v>70</v>
      </c>
      <c r="D81" s="333"/>
      <c r="E81" s="329" t="s">
        <v>52</v>
      </c>
      <c r="F81" s="221">
        <v>20000</v>
      </c>
      <c r="G81" s="330">
        <f>SUMIF($D$10:$D$65,$C$81,$G$10:$G$65)</f>
        <v>0</v>
      </c>
      <c r="H81" s="331">
        <f t="shared" si="0"/>
        <v>20000</v>
      </c>
      <c r="I81" s="348"/>
    </row>
    <row r="82" spans="2:9" ht="26.4" customHeight="1" x14ac:dyDescent="0.6">
      <c r="B82" s="334">
        <v>8</v>
      </c>
      <c r="C82" s="333">
        <v>80</v>
      </c>
      <c r="D82" s="333"/>
      <c r="E82" s="329" t="s">
        <v>53</v>
      </c>
      <c r="F82" s="221">
        <v>20000</v>
      </c>
      <c r="G82" s="330">
        <f>SUMIF($D$10:$D$65,$C$82,$G$10:$G$65)</f>
        <v>0</v>
      </c>
      <c r="H82" s="331">
        <f t="shared" si="0"/>
        <v>20000</v>
      </c>
      <c r="I82" s="348"/>
    </row>
    <row r="83" spans="2:9" ht="30" customHeight="1" x14ac:dyDescent="0.6">
      <c r="B83" s="223"/>
      <c r="C83" s="224"/>
      <c r="D83" s="224"/>
      <c r="E83" s="225" t="s">
        <v>59</v>
      </c>
      <c r="F83" s="226">
        <f>SUM(F75:F82)</f>
        <v>2930000</v>
      </c>
      <c r="G83" s="226">
        <f>SUM(G75:G82)</f>
        <v>791041.2</v>
      </c>
      <c r="H83" s="227">
        <f>SUM(H75:H82)</f>
        <v>2138958.7999999998</v>
      </c>
      <c r="I83" s="348"/>
    </row>
    <row r="84" spans="2:9" ht="30" customHeight="1" x14ac:dyDescent="0.6">
      <c r="B84" s="223"/>
      <c r="C84" s="224"/>
      <c r="D84" s="224"/>
      <c r="E84" s="225" t="s">
        <v>60</v>
      </c>
      <c r="F84" s="230">
        <f>((C72-F83)/C72)</f>
        <v>-111.69230769230769</v>
      </c>
      <c r="G84" s="230"/>
      <c r="H84" s="228"/>
      <c r="I84" s="348"/>
    </row>
    <row r="85" spans="2:9" ht="30" customHeight="1" x14ac:dyDescent="0.6">
      <c r="B85" s="223"/>
      <c r="C85" s="224"/>
      <c r="D85" s="224"/>
      <c r="E85" s="225" t="s">
        <v>58</v>
      </c>
      <c r="F85" s="226">
        <f>F84*C72</f>
        <v>-2904000</v>
      </c>
      <c r="G85" s="226"/>
      <c r="H85" s="228"/>
      <c r="I85" s="348"/>
    </row>
    <row r="86" spans="2:9" ht="30" customHeight="1" x14ac:dyDescent="0.6">
      <c r="B86" s="223"/>
      <c r="C86" s="224"/>
      <c r="D86" s="224"/>
      <c r="E86" s="225" t="s">
        <v>68</v>
      </c>
      <c r="F86" s="335">
        <f>C72-G83</f>
        <v>-765041.2</v>
      </c>
      <c r="G86" s="233"/>
      <c r="H86" s="228"/>
      <c r="I86" s="348"/>
    </row>
    <row r="87" spans="2:9" x14ac:dyDescent="0.6">
      <c r="B87" s="223"/>
      <c r="C87" s="224"/>
      <c r="D87" s="224"/>
      <c r="E87" s="224"/>
      <c r="F87" s="224"/>
      <c r="G87" s="336"/>
      <c r="H87" s="337"/>
      <c r="I87" s="349"/>
    </row>
    <row r="88" spans="2:9" x14ac:dyDescent="0.6">
      <c r="B88" s="223"/>
      <c r="C88" s="224"/>
      <c r="D88" s="224"/>
      <c r="E88" s="224"/>
      <c r="F88" s="224"/>
      <c r="G88" s="336"/>
      <c r="H88" s="337"/>
      <c r="I88" s="349"/>
    </row>
    <row r="89" spans="2:9" x14ac:dyDescent="0.6">
      <c r="B89" s="223"/>
      <c r="C89" s="224"/>
      <c r="D89" s="224"/>
      <c r="E89" s="224"/>
      <c r="F89" s="224"/>
      <c r="G89" s="336"/>
      <c r="H89" s="337"/>
      <c r="I89" s="349"/>
    </row>
    <row r="90" spans="2:9" x14ac:dyDescent="0.6">
      <c r="B90" s="223"/>
      <c r="C90" s="224"/>
      <c r="D90" s="224"/>
      <c r="E90" s="224"/>
      <c r="F90" s="224"/>
      <c r="G90" s="336"/>
      <c r="H90" s="337"/>
      <c r="I90" s="349"/>
    </row>
    <row r="91" spans="2:9" x14ac:dyDescent="0.6">
      <c r="B91" s="286"/>
      <c r="C91" s="286"/>
      <c r="D91" s="288"/>
      <c r="E91" s="288"/>
      <c r="F91" s="338"/>
      <c r="G91" s="339"/>
      <c r="H91" s="286"/>
      <c r="I91" s="288"/>
    </row>
    <row r="92" spans="2:9" x14ac:dyDescent="0.6">
      <c r="B92" s="286"/>
      <c r="C92" s="286"/>
      <c r="D92" s="288"/>
      <c r="E92" s="288"/>
      <c r="F92" s="340"/>
      <c r="G92" s="341"/>
      <c r="H92" s="286"/>
      <c r="I92" s="288"/>
    </row>
    <row r="93" spans="2:9" x14ac:dyDescent="0.6">
      <c r="B93" s="286"/>
      <c r="C93" s="286"/>
      <c r="D93" s="288"/>
      <c r="E93" s="288"/>
      <c r="F93" s="286"/>
      <c r="G93" s="286"/>
      <c r="H93" s="286"/>
      <c r="I93" s="288"/>
    </row>
  </sheetData>
  <mergeCells count="8">
    <mergeCell ref="I73:I74"/>
    <mergeCell ref="F73:F74"/>
    <mergeCell ref="G73:G74"/>
    <mergeCell ref="E4:F5"/>
    <mergeCell ref="B73:B74"/>
    <mergeCell ref="C73:D74"/>
    <mergeCell ref="E73:E74"/>
    <mergeCell ref="H73:H74"/>
  </mergeCells>
  <conditionalFormatting sqref="H75:H83">
    <cfRule type="cellIs" dxfId="56" priority="1" operator="lessThan">
      <formula>0</formula>
    </cfRule>
    <cfRule type="cellIs" dxfId="55" priority="2" operator="greater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13E31-359B-4BD0-ABE7-1C92DBC42E94}">
  <sheetPr>
    <tabColor theme="2" tint="-0.749992370372631"/>
  </sheetPr>
  <dimension ref="B1:R93"/>
  <sheetViews>
    <sheetView topLeftCell="A65" zoomScale="70" zoomScaleNormal="70" workbookViewId="0">
      <selection activeCell="H41" sqref="H41"/>
    </sheetView>
  </sheetViews>
  <sheetFormatPr defaultRowHeight="17.399999999999999" x14ac:dyDescent="0.45"/>
  <cols>
    <col min="1" max="1" width="8.796875" style="241"/>
    <col min="2" max="2" width="26" style="280" customWidth="1"/>
    <col min="3" max="3" width="35.796875" style="280" customWidth="1"/>
    <col min="4" max="4" width="12.3984375" style="280" customWidth="1"/>
    <col min="5" max="5" width="35.796875" style="280" customWidth="1"/>
    <col min="6" max="6" width="25.3984375" style="280" customWidth="1"/>
    <col min="7" max="7" width="24.8984375" style="280" customWidth="1"/>
    <col min="8" max="9" width="22.19921875" style="280" customWidth="1"/>
    <col min="10" max="12" width="8.796875" style="241"/>
    <col min="13" max="13" width="12.296875" style="241" customWidth="1"/>
    <col min="14" max="17" width="19.296875" style="241" customWidth="1"/>
    <col min="18" max="18" width="27.09765625" style="241" customWidth="1"/>
    <col min="19" max="16384" width="8.796875" style="241"/>
  </cols>
  <sheetData>
    <row r="1" spans="2:18" x14ac:dyDescent="0.45">
      <c r="B1" s="236" t="s">
        <v>0</v>
      </c>
      <c r="C1" s="237" t="s">
        <v>21</v>
      </c>
      <c r="D1" s="237"/>
      <c r="E1" s="237"/>
      <c r="F1" s="238"/>
      <c r="G1" s="238"/>
      <c r="H1" s="239" t="s">
        <v>1</v>
      </c>
      <c r="I1" s="240">
        <v>45336</v>
      </c>
    </row>
    <row r="2" spans="2:18" x14ac:dyDescent="0.45">
      <c r="B2" s="242" t="s">
        <v>2</v>
      </c>
      <c r="C2" s="207" t="s">
        <v>62</v>
      </c>
      <c r="D2" s="207"/>
      <c r="E2" s="207"/>
      <c r="F2" s="238"/>
      <c r="G2" s="238"/>
      <c r="H2" s="239" t="s">
        <v>3</v>
      </c>
      <c r="I2" s="243"/>
      <c r="N2" s="360" t="s">
        <v>80</v>
      </c>
      <c r="O2" s="360" t="s">
        <v>81</v>
      </c>
      <c r="P2" s="360" t="s">
        <v>82</v>
      </c>
      <c r="Q2" s="360" t="s">
        <v>83</v>
      </c>
    </row>
    <row r="3" spans="2:18" x14ac:dyDescent="0.45">
      <c r="B3" s="242" t="s">
        <v>74</v>
      </c>
      <c r="C3" s="361" t="str">
        <f>C71</f>
        <v>PKE-2500/001</v>
      </c>
      <c r="D3" s="244"/>
      <c r="E3" s="244"/>
      <c r="F3" s="207"/>
      <c r="G3" s="207"/>
      <c r="H3" s="207"/>
      <c r="I3" s="207"/>
      <c r="M3" s="241" t="s">
        <v>84</v>
      </c>
      <c r="N3" s="241" t="s">
        <v>85</v>
      </c>
    </row>
    <row r="4" spans="2:18" x14ac:dyDescent="0.45">
      <c r="B4" s="242" t="s">
        <v>4</v>
      </c>
      <c r="C4" s="245"/>
      <c r="D4" s="244"/>
      <c r="E4" s="581" t="s">
        <v>5</v>
      </c>
      <c r="F4" s="581"/>
      <c r="G4" s="207"/>
      <c r="H4" s="246" t="s">
        <v>6</v>
      </c>
      <c r="I4" s="247">
        <v>0</v>
      </c>
      <c r="N4" s="241" t="s">
        <v>86</v>
      </c>
    </row>
    <row r="5" spans="2:18" x14ac:dyDescent="0.45">
      <c r="B5" s="242" t="s">
        <v>7</v>
      </c>
      <c r="C5" s="248">
        <f>C72</f>
        <v>32460</v>
      </c>
      <c r="D5" s="244"/>
      <c r="E5" s="581"/>
      <c r="F5" s="581"/>
      <c r="G5" s="238"/>
      <c r="H5" s="207"/>
      <c r="I5" s="207"/>
    </row>
    <row r="6" spans="2:18" x14ac:dyDescent="0.45">
      <c r="B6" s="242" t="s">
        <v>8</v>
      </c>
      <c r="C6" s="248">
        <f>F83</f>
        <v>256000</v>
      </c>
      <c r="D6" s="207"/>
      <c r="E6" s="245"/>
      <c r="F6" s="238"/>
      <c r="G6" s="238"/>
      <c r="H6" s="207"/>
      <c r="I6" s="207"/>
      <c r="M6" s="241" t="s">
        <v>7</v>
      </c>
      <c r="N6" s="362">
        <v>2254569.98</v>
      </c>
      <c r="O6" s="363"/>
      <c r="P6" s="362">
        <v>397867.06</v>
      </c>
      <c r="Q6" s="362">
        <v>513604.21</v>
      </c>
    </row>
    <row r="7" spans="2:18" x14ac:dyDescent="0.45">
      <c r="B7" s="205" t="s">
        <v>9</v>
      </c>
      <c r="C7" s="249">
        <f>(C5-C6)/C5</f>
        <v>-6.8866296980899566</v>
      </c>
      <c r="D7" s="205" t="s">
        <v>10</v>
      </c>
      <c r="E7" s="206">
        <v>1</v>
      </c>
      <c r="F7" s="207"/>
      <c r="G7" s="207"/>
      <c r="H7" s="207"/>
      <c r="I7" s="207"/>
      <c r="N7" s="362">
        <v>265430.02</v>
      </c>
      <c r="O7" s="363"/>
      <c r="P7" s="363"/>
      <c r="Q7" s="363"/>
    </row>
    <row r="8" spans="2:18" x14ac:dyDescent="0.45">
      <c r="B8" s="250" t="s">
        <v>63</v>
      </c>
      <c r="C8" s="251" t="s">
        <v>11</v>
      </c>
      <c r="D8" s="251" t="s">
        <v>12</v>
      </c>
      <c r="E8" s="251" t="s">
        <v>13</v>
      </c>
      <c r="F8" s="251" t="s">
        <v>32</v>
      </c>
      <c r="G8" s="251" t="s">
        <v>14</v>
      </c>
      <c r="H8" s="250" t="s">
        <v>15</v>
      </c>
      <c r="I8" s="250" t="s">
        <v>16</v>
      </c>
      <c r="N8" s="363"/>
      <c r="O8" s="363"/>
      <c r="P8" s="363"/>
      <c r="Q8" s="363"/>
    </row>
    <row r="9" spans="2:18" x14ac:dyDescent="0.45">
      <c r="B9" s="351"/>
      <c r="C9" s="252"/>
      <c r="D9" s="252"/>
      <c r="E9" s="252"/>
      <c r="F9" s="252"/>
      <c r="G9" s="352"/>
      <c r="H9" s="353"/>
      <c r="I9" s="354"/>
      <c r="N9" s="363">
        <f>SUM(N6:N8)</f>
        <v>2520000</v>
      </c>
      <c r="O9" s="363">
        <f t="shared" ref="O9:Q9" si="0">SUM(O6:O8)</f>
        <v>0</v>
      </c>
      <c r="P9" s="363">
        <f t="shared" si="0"/>
        <v>397867.06</v>
      </c>
      <c r="Q9" s="363">
        <f t="shared" si="0"/>
        <v>513604.21</v>
      </c>
      <c r="R9" s="364">
        <f>SUM(N9:Q9)</f>
        <v>3431471.27</v>
      </c>
    </row>
    <row r="10" spans="2:18" x14ac:dyDescent="0.45">
      <c r="B10" s="354"/>
      <c r="C10" s="252" t="s">
        <v>38</v>
      </c>
      <c r="D10" s="365">
        <v>10</v>
      </c>
      <c r="E10" s="252" t="s">
        <v>198</v>
      </c>
      <c r="F10" s="252" t="s">
        <v>199</v>
      </c>
      <c r="G10" s="366">
        <v>28210</v>
      </c>
      <c r="H10" s="254" t="s">
        <v>17</v>
      </c>
      <c r="I10" s="355">
        <v>45748</v>
      </c>
      <c r="N10" s="363"/>
      <c r="O10" s="363"/>
      <c r="P10" s="363"/>
      <c r="Q10" s="363"/>
    </row>
    <row r="11" spans="2:18" x14ac:dyDescent="0.45">
      <c r="B11" s="367"/>
      <c r="C11" s="252" t="s">
        <v>38</v>
      </c>
      <c r="D11" s="365">
        <v>10</v>
      </c>
      <c r="E11" s="252" t="s">
        <v>39</v>
      </c>
      <c r="F11" s="252" t="s">
        <v>225</v>
      </c>
      <c r="G11" s="368">
        <v>13120</v>
      </c>
      <c r="H11" s="254" t="s">
        <v>17</v>
      </c>
      <c r="I11" s="355">
        <v>45820</v>
      </c>
      <c r="N11" s="363"/>
      <c r="O11" s="363"/>
      <c r="P11" s="363"/>
      <c r="Q11" s="363"/>
    </row>
    <row r="12" spans="2:18" x14ac:dyDescent="0.45">
      <c r="B12" s="367"/>
      <c r="C12" s="252"/>
      <c r="D12" s="365"/>
      <c r="E12" s="252"/>
      <c r="F12" s="252"/>
      <c r="G12" s="368"/>
      <c r="H12" s="254"/>
      <c r="I12" s="355"/>
      <c r="N12" s="363"/>
      <c r="O12" s="363"/>
      <c r="P12" s="363"/>
      <c r="Q12" s="363"/>
    </row>
    <row r="13" spans="2:18" x14ac:dyDescent="0.45">
      <c r="B13" s="367"/>
      <c r="C13" s="252"/>
      <c r="D13" s="365"/>
      <c r="E13" s="253"/>
      <c r="F13" s="253"/>
      <c r="G13" s="366"/>
      <c r="H13" s="254"/>
      <c r="I13" s="355"/>
      <c r="N13" s="363"/>
      <c r="O13" s="363"/>
      <c r="P13" s="363"/>
      <c r="Q13" s="363"/>
    </row>
    <row r="14" spans="2:18" x14ac:dyDescent="0.45">
      <c r="B14" s="367"/>
      <c r="C14" s="252"/>
      <c r="D14" s="365"/>
      <c r="E14" s="253"/>
      <c r="F14" s="253"/>
      <c r="G14" s="366"/>
      <c r="H14" s="254"/>
      <c r="I14" s="355"/>
    </row>
    <row r="15" spans="2:18" x14ac:dyDescent="0.45">
      <c r="B15" s="367"/>
      <c r="C15" s="253"/>
      <c r="D15" s="252"/>
      <c r="E15" s="253"/>
      <c r="F15" s="253"/>
      <c r="G15" s="366"/>
      <c r="H15" s="369"/>
      <c r="I15" s="356"/>
    </row>
    <row r="16" spans="2:18" x14ac:dyDescent="0.45">
      <c r="B16" s="367"/>
      <c r="C16" s="253"/>
      <c r="D16" s="252"/>
      <c r="E16" s="253"/>
      <c r="F16" s="253"/>
      <c r="G16" s="366"/>
      <c r="H16" s="369"/>
      <c r="I16" s="356"/>
    </row>
    <row r="17" spans="2:9" x14ac:dyDescent="0.45">
      <c r="B17" s="370"/>
      <c r="C17" s="252"/>
      <c r="D17" s="365"/>
      <c r="E17" s="252"/>
      <c r="F17" s="252"/>
      <c r="G17" s="371"/>
      <c r="H17" s="369"/>
      <c r="I17" s="355"/>
    </row>
    <row r="18" spans="2:9" x14ac:dyDescent="0.45">
      <c r="B18" s="367"/>
      <c r="C18" s="252"/>
      <c r="D18" s="252"/>
      <c r="E18" s="252"/>
      <c r="F18" s="252"/>
      <c r="G18" s="352"/>
      <c r="H18" s="254"/>
      <c r="I18" s="354"/>
    </row>
    <row r="19" spans="2:9" x14ac:dyDescent="0.45">
      <c r="B19" s="367"/>
      <c r="C19" s="252"/>
      <c r="D19" s="252"/>
      <c r="E19" s="252"/>
      <c r="F19" s="252"/>
      <c r="G19" s="352"/>
      <c r="H19" s="254"/>
      <c r="I19" s="354"/>
    </row>
    <row r="20" spans="2:9" x14ac:dyDescent="0.45">
      <c r="B20" s="367"/>
      <c r="C20" s="252"/>
      <c r="D20" s="252"/>
      <c r="E20" s="252"/>
      <c r="F20" s="252"/>
      <c r="G20" s="352"/>
      <c r="H20" s="254"/>
      <c r="I20" s="354"/>
    </row>
    <row r="21" spans="2:9" x14ac:dyDescent="0.45">
      <c r="B21" s="367"/>
      <c r="C21" s="252"/>
      <c r="D21" s="252"/>
      <c r="E21" s="252"/>
      <c r="F21" s="252"/>
      <c r="G21" s="352"/>
      <c r="H21" s="254"/>
      <c r="I21" s="354"/>
    </row>
    <row r="22" spans="2:9" x14ac:dyDescent="0.45">
      <c r="B22" s="367"/>
      <c r="C22" s="252"/>
      <c r="D22" s="252"/>
      <c r="E22" s="252"/>
      <c r="F22" s="252"/>
      <c r="G22" s="352"/>
      <c r="H22" s="254"/>
      <c r="I22" s="354"/>
    </row>
    <row r="23" spans="2:9" x14ac:dyDescent="0.45">
      <c r="B23" s="367"/>
      <c r="C23" s="252"/>
      <c r="D23" s="252"/>
      <c r="E23" s="252"/>
      <c r="F23" s="252"/>
      <c r="G23" s="352"/>
      <c r="H23" s="254"/>
      <c r="I23" s="354"/>
    </row>
    <row r="24" spans="2:9" x14ac:dyDescent="0.45">
      <c r="B24" s="367"/>
      <c r="C24" s="252"/>
      <c r="D24" s="252"/>
      <c r="E24" s="252"/>
      <c r="F24" s="252"/>
      <c r="G24" s="352"/>
      <c r="H24" s="254"/>
      <c r="I24" s="354"/>
    </row>
    <row r="25" spans="2:9" x14ac:dyDescent="0.45">
      <c r="B25" s="367"/>
      <c r="C25" s="252"/>
      <c r="D25" s="252"/>
      <c r="E25" s="252"/>
      <c r="F25" s="252"/>
      <c r="G25" s="352"/>
      <c r="H25" s="254"/>
      <c r="I25" s="354"/>
    </row>
    <row r="26" spans="2:9" x14ac:dyDescent="0.45">
      <c r="B26" s="367"/>
      <c r="C26" s="252"/>
      <c r="D26" s="252"/>
      <c r="E26" s="252"/>
      <c r="F26" s="252"/>
      <c r="G26" s="352"/>
      <c r="H26" s="254"/>
      <c r="I26" s="354"/>
    </row>
    <row r="27" spans="2:9" x14ac:dyDescent="0.45">
      <c r="B27" s="367"/>
      <c r="C27" s="252"/>
      <c r="D27" s="252"/>
      <c r="E27" s="252"/>
      <c r="F27" s="252"/>
      <c r="G27" s="352"/>
      <c r="H27" s="254"/>
      <c r="I27" s="354"/>
    </row>
    <row r="28" spans="2:9" x14ac:dyDescent="0.45">
      <c r="B28" s="367"/>
      <c r="C28" s="252"/>
      <c r="D28" s="252"/>
      <c r="E28" s="252"/>
      <c r="F28" s="252"/>
      <c r="G28" s="352"/>
      <c r="H28" s="254"/>
      <c r="I28" s="354"/>
    </row>
    <row r="29" spans="2:9" x14ac:dyDescent="0.45">
      <c r="B29" s="367"/>
      <c r="C29" s="252"/>
      <c r="D29" s="252"/>
      <c r="E29" s="252"/>
      <c r="F29" s="252"/>
      <c r="G29" s="352"/>
      <c r="H29" s="254"/>
      <c r="I29" s="354"/>
    </row>
    <row r="30" spans="2:9" x14ac:dyDescent="0.45">
      <c r="B30" s="367"/>
      <c r="C30" s="252"/>
      <c r="D30" s="252"/>
      <c r="E30" s="252"/>
      <c r="F30" s="252"/>
      <c r="G30" s="352"/>
      <c r="H30" s="254"/>
      <c r="I30" s="354"/>
    </row>
    <row r="31" spans="2:9" x14ac:dyDescent="0.45">
      <c r="B31" s="357"/>
      <c r="C31" s="252"/>
      <c r="D31" s="252"/>
      <c r="E31" s="252"/>
      <c r="F31" s="252"/>
      <c r="G31" s="352"/>
      <c r="H31" s="254"/>
      <c r="I31" s="354"/>
    </row>
    <row r="32" spans="2:9" x14ac:dyDescent="0.45">
      <c r="B32" s="357"/>
      <c r="C32" s="252"/>
      <c r="D32" s="252"/>
      <c r="E32" s="252"/>
      <c r="F32" s="252"/>
      <c r="G32" s="352"/>
      <c r="H32" s="254"/>
      <c r="I32" s="354"/>
    </row>
    <row r="33" spans="2:9" x14ac:dyDescent="0.45">
      <c r="B33" s="357"/>
      <c r="C33" s="252"/>
      <c r="D33" s="252"/>
      <c r="E33" s="252"/>
      <c r="F33" s="252"/>
      <c r="G33" s="352"/>
      <c r="H33" s="254"/>
      <c r="I33" s="354"/>
    </row>
    <row r="34" spans="2:9" x14ac:dyDescent="0.45">
      <c r="B34" s="357"/>
      <c r="C34" s="252"/>
      <c r="D34" s="252"/>
      <c r="E34" s="252"/>
      <c r="F34" s="252"/>
      <c r="G34" s="352"/>
      <c r="H34" s="254"/>
      <c r="I34" s="354"/>
    </row>
    <row r="35" spans="2:9" x14ac:dyDescent="0.45">
      <c r="B35" s="357"/>
      <c r="C35" s="252"/>
      <c r="D35" s="252"/>
      <c r="E35" s="252"/>
      <c r="F35" s="252"/>
      <c r="G35" s="352"/>
      <c r="H35" s="254"/>
      <c r="I35" s="354"/>
    </row>
    <row r="36" spans="2:9" x14ac:dyDescent="0.45">
      <c r="B36" s="357"/>
      <c r="C36" s="252"/>
      <c r="D36" s="252"/>
      <c r="E36" s="252"/>
      <c r="F36" s="252"/>
      <c r="G36" s="352"/>
      <c r="H36" s="254"/>
      <c r="I36" s="354"/>
    </row>
    <row r="37" spans="2:9" x14ac:dyDescent="0.45">
      <c r="B37" s="357"/>
      <c r="C37" s="252"/>
      <c r="D37" s="252"/>
      <c r="E37" s="252"/>
      <c r="F37" s="252"/>
      <c r="G37" s="352"/>
      <c r="H37" s="254"/>
      <c r="I37" s="354"/>
    </row>
    <row r="38" spans="2:9" x14ac:dyDescent="0.45">
      <c r="B38" s="357"/>
      <c r="C38" s="252"/>
      <c r="D38" s="252"/>
      <c r="E38" s="252"/>
      <c r="F38" s="252"/>
      <c r="G38" s="352"/>
      <c r="H38" s="254"/>
      <c r="I38" s="354"/>
    </row>
    <row r="39" spans="2:9" x14ac:dyDescent="0.45">
      <c r="B39" s="357"/>
      <c r="C39" s="252"/>
      <c r="D39" s="252"/>
      <c r="E39" s="252"/>
      <c r="F39" s="252"/>
      <c r="G39" s="352"/>
      <c r="H39" s="254"/>
      <c r="I39" s="354"/>
    </row>
    <row r="40" spans="2:9" x14ac:dyDescent="0.45">
      <c r="B40" s="357"/>
      <c r="C40" s="252"/>
      <c r="D40" s="252"/>
      <c r="E40" s="252"/>
      <c r="F40" s="252"/>
      <c r="G40" s="352"/>
      <c r="H40" s="254"/>
      <c r="I40" s="358"/>
    </row>
    <row r="41" spans="2:9" x14ac:dyDescent="0.45">
      <c r="B41" s="357"/>
      <c r="C41" s="252"/>
      <c r="D41" s="252"/>
      <c r="E41" s="252"/>
      <c r="F41" s="252"/>
      <c r="G41" s="352"/>
      <c r="H41" s="254"/>
      <c r="I41" s="358"/>
    </row>
    <row r="42" spans="2:9" x14ac:dyDescent="0.45">
      <c r="B42" s="357"/>
      <c r="C42" s="252"/>
      <c r="D42" s="252"/>
      <c r="E42" s="252"/>
      <c r="F42" s="252"/>
      <c r="G42" s="352"/>
      <c r="H42" s="254"/>
      <c r="I42" s="358"/>
    </row>
    <row r="43" spans="2:9" x14ac:dyDescent="0.45">
      <c r="B43" s="357"/>
      <c r="C43" s="252"/>
      <c r="D43" s="252"/>
      <c r="E43" s="252"/>
      <c r="F43" s="252"/>
      <c r="G43" s="352"/>
      <c r="H43" s="254"/>
      <c r="I43" s="358"/>
    </row>
    <row r="44" spans="2:9" x14ac:dyDescent="0.45">
      <c r="B44" s="357"/>
      <c r="C44" s="252"/>
      <c r="D44" s="252"/>
      <c r="E44" s="252"/>
      <c r="F44" s="252"/>
      <c r="G44" s="352"/>
      <c r="H44" s="254"/>
      <c r="I44" s="358"/>
    </row>
    <row r="45" spans="2:9" x14ac:dyDescent="0.45">
      <c r="B45" s="357"/>
      <c r="C45" s="252"/>
      <c r="D45" s="252"/>
      <c r="E45" s="252"/>
      <c r="F45" s="252"/>
      <c r="G45" s="352"/>
      <c r="H45" s="254"/>
      <c r="I45" s="358"/>
    </row>
    <row r="46" spans="2:9" x14ac:dyDescent="0.45">
      <c r="B46" s="357"/>
      <c r="C46" s="252"/>
      <c r="D46" s="252"/>
      <c r="E46" s="252"/>
      <c r="F46" s="252"/>
      <c r="G46" s="352"/>
      <c r="H46" s="254"/>
      <c r="I46" s="358"/>
    </row>
    <row r="47" spans="2:9" x14ac:dyDescent="0.45">
      <c r="B47" s="357"/>
      <c r="C47" s="252"/>
      <c r="D47" s="252"/>
      <c r="E47" s="252"/>
      <c r="F47" s="252"/>
      <c r="G47" s="352"/>
      <c r="H47" s="254"/>
      <c r="I47" s="358"/>
    </row>
    <row r="48" spans="2:9" x14ac:dyDescent="0.45">
      <c r="B48" s="357"/>
      <c r="C48" s="252"/>
      <c r="D48" s="252"/>
      <c r="E48" s="252"/>
      <c r="F48" s="252"/>
      <c r="G48" s="352"/>
      <c r="H48" s="254"/>
      <c r="I48" s="358"/>
    </row>
    <row r="49" spans="2:9" x14ac:dyDescent="0.45">
      <c r="B49" s="357"/>
      <c r="C49" s="252"/>
      <c r="D49" s="252"/>
      <c r="E49" s="252"/>
      <c r="F49" s="252"/>
      <c r="G49" s="352"/>
      <c r="H49" s="254"/>
      <c r="I49" s="358"/>
    </row>
    <row r="50" spans="2:9" x14ac:dyDescent="0.45">
      <c r="B50" s="357"/>
      <c r="C50" s="252"/>
      <c r="D50" s="252"/>
      <c r="E50" s="252"/>
      <c r="F50" s="252"/>
      <c r="G50" s="352"/>
      <c r="H50" s="254"/>
      <c r="I50" s="358"/>
    </row>
    <row r="51" spans="2:9" x14ac:dyDescent="0.45">
      <c r="B51" s="357"/>
      <c r="C51" s="252"/>
      <c r="D51" s="252"/>
      <c r="E51" s="252"/>
      <c r="F51" s="252"/>
      <c r="G51" s="352"/>
      <c r="H51" s="254"/>
      <c r="I51" s="358"/>
    </row>
    <row r="52" spans="2:9" x14ac:dyDescent="0.45">
      <c r="B52" s="357"/>
      <c r="C52" s="252"/>
      <c r="D52" s="252"/>
      <c r="E52" s="252"/>
      <c r="F52" s="252"/>
      <c r="G52" s="352"/>
      <c r="H52" s="254"/>
      <c r="I52" s="358"/>
    </row>
    <row r="53" spans="2:9" x14ac:dyDescent="0.45">
      <c r="B53" s="357"/>
      <c r="C53" s="252"/>
      <c r="D53" s="252"/>
      <c r="E53" s="252"/>
      <c r="F53" s="252"/>
      <c r="G53" s="352"/>
      <c r="H53" s="254"/>
      <c r="I53" s="358"/>
    </row>
    <row r="54" spans="2:9" x14ac:dyDescent="0.45">
      <c r="B54" s="357"/>
      <c r="C54" s="252"/>
      <c r="D54" s="252"/>
      <c r="E54" s="252"/>
      <c r="F54" s="252"/>
      <c r="G54" s="352"/>
      <c r="H54" s="254"/>
      <c r="I54" s="358"/>
    </row>
    <row r="55" spans="2:9" x14ac:dyDescent="0.45">
      <c r="B55" s="357"/>
      <c r="C55" s="252"/>
      <c r="D55" s="252"/>
      <c r="E55" s="252"/>
      <c r="F55" s="252"/>
      <c r="G55" s="352"/>
      <c r="H55" s="254"/>
      <c r="I55" s="358"/>
    </row>
    <row r="56" spans="2:9" x14ac:dyDescent="0.45">
      <c r="B56" s="357"/>
      <c r="C56" s="252"/>
      <c r="D56" s="252"/>
      <c r="E56" s="252"/>
      <c r="F56" s="252"/>
      <c r="G56" s="352"/>
      <c r="H56" s="254"/>
      <c r="I56" s="358"/>
    </row>
    <row r="57" spans="2:9" x14ac:dyDescent="0.45">
      <c r="B57" s="357"/>
      <c r="C57" s="252"/>
      <c r="D57" s="252"/>
      <c r="E57" s="252"/>
      <c r="F57" s="252"/>
      <c r="G57" s="352"/>
      <c r="H57" s="254"/>
      <c r="I57" s="358"/>
    </row>
    <row r="58" spans="2:9" x14ac:dyDescent="0.45">
      <c r="B58" s="357"/>
      <c r="C58" s="252"/>
      <c r="D58" s="252"/>
      <c r="E58" s="252"/>
      <c r="F58" s="252"/>
      <c r="G58" s="352"/>
      <c r="H58" s="254"/>
      <c r="I58" s="358"/>
    </row>
    <row r="59" spans="2:9" x14ac:dyDescent="0.45">
      <c r="B59" s="357"/>
      <c r="C59" s="252"/>
      <c r="D59" s="252"/>
      <c r="E59" s="252"/>
      <c r="F59" s="252"/>
      <c r="G59" s="352"/>
      <c r="H59" s="254"/>
      <c r="I59" s="358"/>
    </row>
    <row r="60" spans="2:9" x14ac:dyDescent="0.45">
      <c r="B60" s="216"/>
      <c r="C60" s="213"/>
      <c r="D60" s="213"/>
      <c r="E60" s="213"/>
      <c r="F60" s="213"/>
      <c r="G60" s="359"/>
      <c r="H60" s="214"/>
      <c r="I60" s="215"/>
    </row>
    <row r="61" spans="2:9" x14ac:dyDescent="0.45">
      <c r="B61" s="216"/>
      <c r="C61" s="213"/>
      <c r="D61" s="213"/>
      <c r="E61" s="213"/>
      <c r="F61" s="213"/>
      <c r="G61" s="359"/>
      <c r="H61" s="214"/>
      <c r="I61" s="215"/>
    </row>
    <row r="62" spans="2:9" x14ac:dyDescent="0.45">
      <c r="B62" s="216"/>
      <c r="C62" s="213"/>
      <c r="D62" s="213"/>
      <c r="E62" s="213"/>
      <c r="F62" s="213"/>
      <c r="G62" s="359"/>
      <c r="H62" s="214"/>
      <c r="I62" s="215"/>
    </row>
    <row r="63" spans="2:9" x14ac:dyDescent="0.45">
      <c r="B63" s="216"/>
      <c r="C63" s="213"/>
      <c r="D63" s="213"/>
      <c r="E63" s="213"/>
      <c r="F63" s="213"/>
      <c r="G63" s="359"/>
      <c r="H63" s="214"/>
      <c r="I63" s="215"/>
    </row>
    <row r="64" spans="2:9" x14ac:dyDescent="0.45">
      <c r="B64" s="216"/>
      <c r="C64" s="213"/>
      <c r="D64" s="213"/>
      <c r="E64" s="213"/>
      <c r="F64" s="213"/>
      <c r="G64" s="359"/>
      <c r="H64" s="214"/>
      <c r="I64" s="215"/>
    </row>
    <row r="65" spans="2:18" x14ac:dyDescent="0.45">
      <c r="B65" s="216"/>
      <c r="C65" s="213"/>
      <c r="D65" s="213"/>
      <c r="E65" s="213"/>
      <c r="F65" s="213"/>
      <c r="G65" s="359"/>
      <c r="H65" s="214"/>
      <c r="I65" s="215"/>
    </row>
    <row r="66" spans="2:18" x14ac:dyDescent="0.45">
      <c r="B66" s="207"/>
      <c r="C66" s="207"/>
      <c r="D66" s="244"/>
      <c r="E66" s="244"/>
      <c r="F66" s="255" t="s">
        <v>18</v>
      </c>
      <c r="G66" s="256">
        <f>SUM(G9:G65)</f>
        <v>41330</v>
      </c>
      <c r="H66" s="207"/>
      <c r="I66" s="207"/>
    </row>
    <row r="67" spans="2:18" x14ac:dyDescent="0.45">
      <c r="B67" s="207"/>
      <c r="C67" s="207"/>
      <c r="D67" s="244"/>
      <c r="E67" s="244"/>
      <c r="F67" s="257" t="s">
        <v>19</v>
      </c>
      <c r="G67" s="258">
        <f>$C$6-G66</f>
        <v>214670</v>
      </c>
      <c r="H67" s="207"/>
      <c r="I67" s="207"/>
    </row>
    <row r="68" spans="2:18" x14ac:dyDescent="0.45">
      <c r="B68" s="207"/>
      <c r="C68" s="207"/>
      <c r="D68" s="244"/>
      <c r="E68" s="244"/>
      <c r="F68" s="207"/>
      <c r="G68" s="207"/>
      <c r="H68" s="207"/>
      <c r="I68" s="207"/>
    </row>
    <row r="69" spans="2:18" x14ac:dyDescent="0.45">
      <c r="B69" s="207"/>
      <c r="C69" s="207"/>
      <c r="D69" s="244"/>
      <c r="E69" s="244"/>
      <c r="F69" s="205" t="s">
        <v>20</v>
      </c>
      <c r="G69" s="259">
        <f>G67/C6</f>
        <v>0.83855468749999995</v>
      </c>
      <c r="H69" s="242"/>
      <c r="I69" s="207"/>
    </row>
    <row r="70" spans="2:18" x14ac:dyDescent="0.45">
      <c r="B70" s="242"/>
      <c r="C70" s="248"/>
      <c r="D70" s="244"/>
      <c r="E70" s="238"/>
      <c r="F70" s="238"/>
      <c r="G70" s="238"/>
      <c r="H70" s="207"/>
      <c r="I70" s="207"/>
    </row>
    <row r="71" spans="2:18" x14ac:dyDescent="0.45">
      <c r="B71" s="260" t="s">
        <v>79</v>
      </c>
      <c r="C71" s="261" t="str">
        <f>'All Job balance report'!B5</f>
        <v>PKE-2500/001</v>
      </c>
      <c r="D71" s="207"/>
      <c r="E71" s="245"/>
      <c r="F71" s="238"/>
      <c r="G71" s="238"/>
      <c r="H71" s="207"/>
      <c r="I71" s="207"/>
    </row>
    <row r="72" spans="2:18" x14ac:dyDescent="0.45">
      <c r="B72" s="217" t="s">
        <v>7</v>
      </c>
      <c r="C72" s="262">
        <f>'All Job balance report'!G5</f>
        <v>32460</v>
      </c>
      <c r="D72" s="205"/>
      <c r="E72" s="206"/>
      <c r="F72" s="207"/>
      <c r="G72" s="207"/>
      <c r="H72" s="207"/>
      <c r="I72" s="207"/>
    </row>
    <row r="73" spans="2:18" x14ac:dyDescent="0.45">
      <c r="B73" s="582" t="s">
        <v>23</v>
      </c>
      <c r="C73" s="582" t="s">
        <v>28</v>
      </c>
      <c r="D73" s="584"/>
      <c r="E73" s="580" t="s">
        <v>13</v>
      </c>
      <c r="F73" s="580" t="s">
        <v>54</v>
      </c>
      <c r="G73" s="580" t="s">
        <v>55</v>
      </c>
      <c r="H73" s="580" t="s">
        <v>56</v>
      </c>
      <c r="I73" s="580" t="s">
        <v>57</v>
      </c>
    </row>
    <row r="74" spans="2:18" x14ac:dyDescent="0.45">
      <c r="B74" s="583"/>
      <c r="C74" s="583"/>
      <c r="D74" s="585"/>
      <c r="E74" s="580"/>
      <c r="F74" s="580"/>
      <c r="G74" s="580"/>
      <c r="H74" s="580"/>
      <c r="I74" s="580"/>
      <c r="N74" s="372" t="s">
        <v>80</v>
      </c>
      <c r="O74" s="372" t="s">
        <v>81</v>
      </c>
      <c r="P74" s="372" t="s">
        <v>82</v>
      </c>
      <c r="Q74" s="372" t="s">
        <v>83</v>
      </c>
    </row>
    <row r="75" spans="2:18" ht="18.600000000000001" x14ac:dyDescent="0.45">
      <c r="B75" s="263">
        <v>1</v>
      </c>
      <c r="C75" s="264">
        <v>10</v>
      </c>
      <c r="D75" s="264"/>
      <c r="E75" s="265" t="s">
        <v>25</v>
      </c>
      <c r="F75" s="373">
        <v>130000</v>
      </c>
      <c r="G75" s="266">
        <f>SUMIF($D$10:$D$65,$C$75,$G$10:$G$65)</f>
        <v>41330</v>
      </c>
      <c r="H75" s="219">
        <f>F75-G75</f>
        <v>88670</v>
      </c>
      <c r="I75" s="220"/>
      <c r="N75" s="374">
        <f>1391385.86+550222.39</f>
        <v>1941608.25</v>
      </c>
      <c r="O75" s="375">
        <v>187326.21</v>
      </c>
      <c r="P75" s="376">
        <v>171283.81</v>
      </c>
      <c r="Q75" s="376">
        <v>229202.12</v>
      </c>
      <c r="R75" s="377">
        <f t="shared" ref="R75:R83" si="1">SUM(N75:Q75)</f>
        <v>2529420.39</v>
      </c>
    </row>
    <row r="76" spans="2:18" ht="18.600000000000001" x14ac:dyDescent="0.45">
      <c r="B76" s="267">
        <v>2</v>
      </c>
      <c r="C76" s="268">
        <v>20</v>
      </c>
      <c r="D76" s="268"/>
      <c r="E76" s="265" t="s">
        <v>26</v>
      </c>
      <c r="F76" s="373">
        <v>86000</v>
      </c>
      <c r="G76" s="266">
        <f>SUMIF($D$10:$D$65,$C$76,$G$10:$G$65)</f>
        <v>0</v>
      </c>
      <c r="H76" s="219">
        <f t="shared" ref="H76:H82" si="2">F76-G76</f>
        <v>86000</v>
      </c>
      <c r="I76" s="220"/>
      <c r="N76" s="374">
        <f>125499.72+40000-N79</f>
        <v>100499.72</v>
      </c>
      <c r="O76" s="375">
        <f>129657.59-O79</f>
        <v>79657.59</v>
      </c>
      <c r="P76" s="376">
        <f>119025.22-P79</f>
        <v>69025.22</v>
      </c>
      <c r="Q76" s="376">
        <f>145843.83-Q79</f>
        <v>115843.82999999999</v>
      </c>
      <c r="R76" s="377">
        <f t="shared" si="1"/>
        <v>365026.36</v>
      </c>
    </row>
    <row r="77" spans="2:18" ht="18.600000000000001" x14ac:dyDescent="0.45">
      <c r="B77" s="267">
        <v>3</v>
      </c>
      <c r="C77" s="268">
        <v>30</v>
      </c>
      <c r="D77" s="268"/>
      <c r="E77" s="265" t="s">
        <v>48</v>
      </c>
      <c r="F77" s="373">
        <v>0</v>
      </c>
      <c r="G77" s="266">
        <f>SUMIF($D$10:$D$65,$C$77,$G$10:$G$65)</f>
        <v>0</v>
      </c>
      <c r="H77" s="219">
        <f t="shared" si="2"/>
        <v>0</v>
      </c>
      <c r="I77" s="222"/>
      <c r="N77" s="374"/>
      <c r="O77" s="375"/>
      <c r="P77" s="376"/>
      <c r="Q77" s="376"/>
      <c r="R77" s="377">
        <f t="shared" si="1"/>
        <v>0</v>
      </c>
    </row>
    <row r="78" spans="2:18" ht="18.600000000000001" x14ac:dyDescent="0.45">
      <c r="B78" s="267">
        <v>4</v>
      </c>
      <c r="C78" s="268">
        <v>40</v>
      </c>
      <c r="D78" s="268"/>
      <c r="E78" s="265" t="s">
        <v>49</v>
      </c>
      <c r="F78" s="373">
        <v>0</v>
      </c>
      <c r="G78" s="266">
        <f>SUMIF($D$10:$D$65,$C$78,$G$10:$G$65)</f>
        <v>0</v>
      </c>
      <c r="H78" s="219">
        <f t="shared" si="2"/>
        <v>0</v>
      </c>
      <c r="I78" s="222"/>
      <c r="N78" s="374"/>
      <c r="O78" s="375"/>
      <c r="P78" s="376"/>
      <c r="Q78" s="376"/>
      <c r="R78" s="377">
        <f t="shared" si="1"/>
        <v>0</v>
      </c>
    </row>
    <row r="79" spans="2:18" ht="18.600000000000001" x14ac:dyDescent="0.45">
      <c r="B79" s="267">
        <v>5</v>
      </c>
      <c r="C79" s="268">
        <v>50</v>
      </c>
      <c r="D79" s="268"/>
      <c r="E79" s="265" t="s">
        <v>47</v>
      </c>
      <c r="F79" s="373">
        <v>30000</v>
      </c>
      <c r="G79" s="266">
        <f>SUMIF($D$10:$D$65,$C$79,$G$10:$G$65)</f>
        <v>0</v>
      </c>
      <c r="H79" s="219">
        <f t="shared" si="2"/>
        <v>30000</v>
      </c>
      <c r="I79" s="222"/>
      <c r="N79" s="374">
        <v>65000</v>
      </c>
      <c r="O79" s="375">
        <v>50000</v>
      </c>
      <c r="P79" s="376">
        <v>50000</v>
      </c>
      <c r="Q79" s="376">
        <v>30000</v>
      </c>
      <c r="R79" s="377">
        <f t="shared" si="1"/>
        <v>195000</v>
      </c>
    </row>
    <row r="80" spans="2:18" ht="18.600000000000001" x14ac:dyDescent="0.45">
      <c r="B80" s="269">
        <v>6</v>
      </c>
      <c r="C80" s="268">
        <v>60</v>
      </c>
      <c r="D80" s="268"/>
      <c r="E80" s="265" t="s">
        <v>51</v>
      </c>
      <c r="F80" s="373">
        <v>0</v>
      </c>
      <c r="G80" s="266">
        <f>SUMIF($D$10:$D$65,$C$80,$G$10:$G$65)</f>
        <v>0</v>
      </c>
      <c r="H80" s="219">
        <f t="shared" si="2"/>
        <v>0</v>
      </c>
      <c r="I80" s="222"/>
      <c r="N80" s="374"/>
      <c r="O80" s="374"/>
      <c r="P80" s="374"/>
      <c r="Q80" s="374"/>
      <c r="R80" s="377">
        <f t="shared" si="1"/>
        <v>0</v>
      </c>
    </row>
    <row r="81" spans="2:18" ht="18.600000000000001" x14ac:dyDescent="0.45">
      <c r="B81" s="269">
        <v>7</v>
      </c>
      <c r="C81" s="268">
        <v>70</v>
      </c>
      <c r="D81" s="268"/>
      <c r="E81" s="265" t="s">
        <v>52</v>
      </c>
      <c r="F81" s="373">
        <v>0</v>
      </c>
      <c r="G81" s="266">
        <f>SUMIF($D$10:$D$65,$C$81,$G$10:$G$65)</f>
        <v>0</v>
      </c>
      <c r="H81" s="219">
        <f t="shared" si="2"/>
        <v>0</v>
      </c>
      <c r="I81" s="222"/>
      <c r="N81" s="374"/>
      <c r="O81" s="374"/>
      <c r="P81" s="374"/>
      <c r="Q81" s="374"/>
      <c r="R81" s="377">
        <f t="shared" si="1"/>
        <v>0</v>
      </c>
    </row>
    <row r="82" spans="2:18" ht="18.600000000000001" x14ac:dyDescent="0.45">
      <c r="B82" s="269">
        <v>8</v>
      </c>
      <c r="C82" s="268">
        <v>80</v>
      </c>
      <c r="D82" s="268"/>
      <c r="E82" s="265" t="s">
        <v>53</v>
      </c>
      <c r="F82" s="373">
        <v>10000</v>
      </c>
      <c r="G82" s="266">
        <f>SUMIF($D$10:$D$65,$C$82,$G$10:$G$65)</f>
        <v>0</v>
      </c>
      <c r="H82" s="219">
        <f t="shared" si="2"/>
        <v>10000</v>
      </c>
      <c r="I82" s="222"/>
      <c r="N82" s="374"/>
      <c r="O82" s="374"/>
      <c r="P82" s="374"/>
      <c r="Q82" s="374"/>
      <c r="R82" s="377">
        <f t="shared" si="1"/>
        <v>0</v>
      </c>
    </row>
    <row r="83" spans="2:18" x14ac:dyDescent="0.45">
      <c r="B83" s="231"/>
      <c r="C83" s="232"/>
      <c r="D83" s="232"/>
      <c r="E83" s="270" t="s">
        <v>59</v>
      </c>
      <c r="F83" s="271">
        <f>SUM(F75:F82)</f>
        <v>256000</v>
      </c>
      <c r="G83" s="271">
        <f>SUM(G75:G82)</f>
        <v>41330</v>
      </c>
      <c r="H83" s="272">
        <f>SUM(H75:H82)</f>
        <v>214670</v>
      </c>
      <c r="I83" s="222"/>
      <c r="N83" s="374"/>
      <c r="O83" s="374"/>
      <c r="P83" s="374"/>
      <c r="Q83" s="374"/>
      <c r="R83" s="377">
        <f t="shared" si="1"/>
        <v>0</v>
      </c>
    </row>
    <row r="84" spans="2:18" x14ac:dyDescent="0.45">
      <c r="B84" s="231"/>
      <c r="C84" s="232"/>
      <c r="D84" s="232"/>
      <c r="E84" s="270" t="s">
        <v>60</v>
      </c>
      <c r="F84" s="273">
        <f>((C72-F83)/C72)</f>
        <v>-6.8866296980899566</v>
      </c>
      <c r="G84" s="273"/>
      <c r="H84" s="222"/>
      <c r="I84" s="222"/>
    </row>
    <row r="85" spans="2:18" ht="18" thickBot="1" x14ac:dyDescent="0.5">
      <c r="B85" s="231"/>
      <c r="C85" s="232"/>
      <c r="D85" s="232"/>
      <c r="E85" s="270" t="s">
        <v>58</v>
      </c>
      <c r="F85" s="271">
        <f>F84*C72</f>
        <v>-223540</v>
      </c>
      <c r="G85" s="271"/>
      <c r="H85" s="222"/>
      <c r="I85" s="222"/>
      <c r="N85" s="378">
        <f>SUM(N75:N84)</f>
        <v>2107107.9699999997</v>
      </c>
      <c r="O85" s="378">
        <f t="shared" ref="O85:Q85" si="3">SUM(O75:O84)</f>
        <v>316983.8</v>
      </c>
      <c r="P85" s="378">
        <f t="shared" si="3"/>
        <v>290309.03000000003</v>
      </c>
      <c r="Q85" s="378">
        <f t="shared" si="3"/>
        <v>375045.94999999995</v>
      </c>
      <c r="R85" s="377">
        <f>SUM(N85:Q85)</f>
        <v>3089446.75</v>
      </c>
    </row>
    <row r="86" spans="2:18" ht="18" thickTop="1" x14ac:dyDescent="0.45">
      <c r="B86" s="231"/>
      <c r="C86" s="232"/>
      <c r="D86" s="232"/>
      <c r="E86" s="270" t="s">
        <v>68</v>
      </c>
      <c r="F86" s="274">
        <f>C72-G83</f>
        <v>-8870</v>
      </c>
      <c r="G86" s="275"/>
      <c r="H86" s="222"/>
      <c r="I86" s="222"/>
    </row>
    <row r="87" spans="2:18" x14ac:dyDescent="0.45">
      <c r="B87" s="231"/>
      <c r="C87" s="232"/>
      <c r="D87" s="232"/>
      <c r="E87" s="232"/>
      <c r="F87" s="232"/>
      <c r="G87" s="234"/>
      <c r="H87" s="235"/>
      <c r="I87" s="235"/>
    </row>
    <row r="88" spans="2:18" x14ac:dyDescent="0.45">
      <c r="B88" s="231"/>
      <c r="C88" s="232"/>
      <c r="D88" s="232"/>
      <c r="E88" s="232"/>
      <c r="F88" s="232"/>
      <c r="G88" s="234"/>
      <c r="H88" s="235"/>
      <c r="I88" s="235"/>
    </row>
    <row r="89" spans="2:18" x14ac:dyDescent="0.45">
      <c r="B89" s="231"/>
      <c r="C89" s="232"/>
      <c r="D89" s="232"/>
      <c r="E89" s="232"/>
      <c r="F89" s="232"/>
      <c r="G89" s="234"/>
      <c r="H89" s="235"/>
      <c r="I89" s="235"/>
    </row>
    <row r="90" spans="2:18" x14ac:dyDescent="0.45">
      <c r="B90" s="231"/>
      <c r="C90" s="232"/>
      <c r="D90" s="232"/>
      <c r="E90" s="232"/>
      <c r="F90" s="232"/>
      <c r="G90" s="234"/>
      <c r="H90" s="235"/>
      <c r="I90" s="235"/>
    </row>
    <row r="91" spans="2:18" x14ac:dyDescent="0.45">
      <c r="B91" s="207"/>
      <c r="C91" s="207"/>
      <c r="D91" s="244"/>
      <c r="E91" s="244"/>
      <c r="F91" s="276"/>
      <c r="G91" s="277"/>
      <c r="H91" s="207"/>
      <c r="I91" s="207"/>
    </row>
    <row r="92" spans="2:18" x14ac:dyDescent="0.45">
      <c r="B92" s="207"/>
      <c r="C92" s="207"/>
      <c r="D92" s="244"/>
      <c r="E92" s="244"/>
      <c r="F92" s="278"/>
      <c r="G92" s="279"/>
      <c r="H92" s="207"/>
      <c r="I92" s="207"/>
    </row>
    <row r="93" spans="2:18" x14ac:dyDescent="0.45">
      <c r="B93" s="207"/>
      <c r="C93" s="207"/>
      <c r="D93" s="244"/>
      <c r="E93" s="244"/>
      <c r="F93" s="207"/>
      <c r="G93" s="207"/>
      <c r="H93" s="207"/>
      <c r="I93" s="207"/>
    </row>
  </sheetData>
  <mergeCells count="8">
    <mergeCell ref="H73:H74"/>
    <mergeCell ref="I73:I74"/>
    <mergeCell ref="E4:F5"/>
    <mergeCell ref="B73:B74"/>
    <mergeCell ref="C73:D74"/>
    <mergeCell ref="E73:E74"/>
    <mergeCell ref="F73:F74"/>
    <mergeCell ref="G73:G74"/>
  </mergeCells>
  <conditionalFormatting sqref="H75:H83">
    <cfRule type="cellIs" dxfId="54" priority="1" operator="lessThan">
      <formula>0</formula>
    </cfRule>
    <cfRule type="cellIs" dxfId="53" priority="2" operator="greaterThan">
      <formula>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996A-ED75-4011-AC96-25719524B19F}">
  <sheetPr>
    <tabColor theme="0" tint="-4.9989318521683403E-2"/>
    <pageSetUpPr fitToPage="1"/>
  </sheetPr>
  <dimension ref="B1:I57"/>
  <sheetViews>
    <sheetView zoomScale="70" zoomScaleNormal="70" zoomScaleSheetLayoutView="70" workbookViewId="0">
      <selection activeCell="F23" sqref="F23"/>
    </sheetView>
  </sheetViews>
  <sheetFormatPr defaultRowHeight="13.8" x14ac:dyDescent="0.25"/>
  <cols>
    <col min="2" max="2" width="16.09765625" style="1" customWidth="1"/>
    <col min="3" max="3" width="42.8984375" style="1" customWidth="1"/>
    <col min="4" max="4" width="17.5" style="1" customWidth="1"/>
    <col min="5" max="5" width="51.796875" style="1" customWidth="1"/>
    <col min="6" max="6" width="30.19921875" style="513" customWidth="1"/>
    <col min="7" max="9" width="22.19921875" style="1" customWidth="1"/>
  </cols>
  <sheetData>
    <row r="1" spans="2:9" ht="22.2" x14ac:dyDescent="0.55000000000000004">
      <c r="B1" s="4"/>
      <c r="C1" s="145"/>
      <c r="D1" s="6"/>
      <c r="E1" s="6"/>
      <c r="F1" s="6"/>
      <c r="G1" s="7"/>
      <c r="H1" s="7"/>
      <c r="I1" s="7"/>
    </row>
    <row r="2" spans="2:9" ht="22.2" x14ac:dyDescent="0.55000000000000004">
      <c r="B2" s="4"/>
      <c r="C2" s="8"/>
      <c r="D2" s="9"/>
      <c r="E2" s="586" t="s">
        <v>345</v>
      </c>
      <c r="F2" s="586"/>
      <c r="G2" s="7"/>
      <c r="H2" s="7"/>
      <c r="I2" s="7"/>
    </row>
    <row r="3" spans="2:9" ht="22.2" x14ac:dyDescent="0.55000000000000004">
      <c r="B3" s="4"/>
      <c r="C3" s="11"/>
      <c r="D3" s="9"/>
      <c r="E3" s="586"/>
      <c r="F3" s="586"/>
      <c r="G3" s="3"/>
      <c r="H3" s="7"/>
      <c r="I3" s="7"/>
    </row>
    <row r="4" spans="2:9" ht="26.4" x14ac:dyDescent="0.55000000000000004">
      <c r="B4" s="495" t="s">
        <v>466</v>
      </c>
      <c r="C4" s="496">
        <v>50000</v>
      </c>
      <c r="D4" s="12"/>
      <c r="E4" s="13"/>
      <c r="F4" s="497"/>
      <c r="G4" s="3"/>
      <c r="H4" s="7"/>
      <c r="I4" s="7"/>
    </row>
    <row r="5" spans="2:9" ht="22.2" x14ac:dyDescent="0.55000000000000004">
      <c r="B5" s="15"/>
      <c r="C5" s="16"/>
      <c r="D5" s="15"/>
      <c r="E5" s="17"/>
      <c r="F5" s="505"/>
      <c r="G5" s="18"/>
      <c r="H5" s="18"/>
      <c r="I5" s="18"/>
    </row>
    <row r="6" spans="2:9" ht="18" x14ac:dyDescent="0.45">
      <c r="B6" s="19" t="s">
        <v>317</v>
      </c>
      <c r="C6" s="20" t="s">
        <v>11</v>
      </c>
      <c r="D6" s="21" t="s">
        <v>12</v>
      </c>
      <c r="E6" s="20" t="s">
        <v>13</v>
      </c>
      <c r="F6" s="20" t="s">
        <v>32</v>
      </c>
      <c r="G6" s="21" t="s">
        <v>14</v>
      </c>
      <c r="H6" s="19" t="s">
        <v>15</v>
      </c>
      <c r="I6" s="19" t="s">
        <v>16</v>
      </c>
    </row>
    <row r="7" spans="2:9" ht="26.4" customHeight="1" x14ac:dyDescent="0.6">
      <c r="B7" s="108">
        <v>1</v>
      </c>
      <c r="C7" s="54"/>
      <c r="D7" s="108">
        <v>60</v>
      </c>
      <c r="E7" s="54" t="s">
        <v>346</v>
      </c>
      <c r="F7" s="506"/>
      <c r="G7" s="443">
        <v>800</v>
      </c>
      <c r="H7" s="59" t="s">
        <v>17</v>
      </c>
      <c r="I7" s="411">
        <v>45899</v>
      </c>
    </row>
    <row r="8" spans="2:9" ht="26.4" customHeight="1" x14ac:dyDescent="0.6">
      <c r="B8" s="108">
        <v>2</v>
      </c>
      <c r="C8" s="442"/>
      <c r="D8" s="108">
        <v>60</v>
      </c>
      <c r="E8" s="442" t="s">
        <v>347</v>
      </c>
      <c r="F8" s="507"/>
      <c r="G8" s="443">
        <v>660</v>
      </c>
      <c r="H8" s="59" t="s">
        <v>17</v>
      </c>
      <c r="I8" s="411">
        <v>45901</v>
      </c>
    </row>
    <row r="9" spans="2:9" ht="26.4" customHeight="1" x14ac:dyDescent="0.6">
      <c r="B9" s="108">
        <v>3</v>
      </c>
      <c r="C9" s="442"/>
      <c r="D9" s="108">
        <v>60</v>
      </c>
      <c r="E9" s="442" t="s">
        <v>348</v>
      </c>
      <c r="F9" s="507"/>
      <c r="G9" s="443">
        <v>8000</v>
      </c>
      <c r="H9" s="59" t="s">
        <v>17</v>
      </c>
      <c r="I9" s="411">
        <v>45901</v>
      </c>
    </row>
    <row r="10" spans="2:9" ht="26.4" customHeight="1" x14ac:dyDescent="0.6">
      <c r="B10" s="108">
        <v>4</v>
      </c>
      <c r="C10" s="442"/>
      <c r="D10" s="108">
        <v>60</v>
      </c>
      <c r="E10" s="54" t="s">
        <v>351</v>
      </c>
      <c r="F10" s="506"/>
      <c r="G10" s="56">
        <v>1404</v>
      </c>
      <c r="H10" s="59" t="s">
        <v>17</v>
      </c>
      <c r="I10" s="411">
        <v>45922</v>
      </c>
    </row>
    <row r="11" spans="2:9" ht="26.4" customHeight="1" x14ac:dyDescent="0.6">
      <c r="B11" s="108">
        <v>5</v>
      </c>
      <c r="C11" s="442"/>
      <c r="D11" s="108">
        <v>60</v>
      </c>
      <c r="E11" s="54" t="s">
        <v>351</v>
      </c>
      <c r="F11" s="506"/>
      <c r="G11" s="56">
        <v>4815</v>
      </c>
      <c r="H11" s="59" t="s">
        <v>17</v>
      </c>
      <c r="I11" s="411">
        <v>45922</v>
      </c>
    </row>
    <row r="12" spans="2:9" ht="26.4" customHeight="1" x14ac:dyDescent="0.6">
      <c r="B12" s="108">
        <v>6</v>
      </c>
      <c r="C12" s="442"/>
      <c r="D12" s="108">
        <v>60</v>
      </c>
      <c r="E12" s="54" t="s">
        <v>352</v>
      </c>
      <c r="F12" s="506"/>
      <c r="G12" s="56">
        <v>250</v>
      </c>
      <c r="H12" s="59" t="s">
        <v>17</v>
      </c>
      <c r="I12" s="411">
        <v>45922</v>
      </c>
    </row>
    <row r="13" spans="2:9" ht="26.4" customHeight="1" x14ac:dyDescent="0.6">
      <c r="B13" s="108">
        <v>7</v>
      </c>
      <c r="C13" s="442"/>
      <c r="D13" s="108">
        <v>10</v>
      </c>
      <c r="E13" s="54" t="s">
        <v>462</v>
      </c>
      <c r="F13" s="506"/>
      <c r="G13" s="56">
        <f>353+1685+1830</f>
        <v>3868</v>
      </c>
      <c r="H13" s="59" t="s">
        <v>17</v>
      </c>
      <c r="I13" s="411">
        <v>45922</v>
      </c>
    </row>
    <row r="14" spans="2:9" ht="26.4" customHeight="1" x14ac:dyDescent="0.6">
      <c r="B14" s="108">
        <v>8</v>
      </c>
      <c r="C14" s="442"/>
      <c r="D14" s="108">
        <v>20</v>
      </c>
      <c r="E14" s="54" t="s">
        <v>463</v>
      </c>
      <c r="F14" s="506"/>
      <c r="G14" s="56">
        <v>1500</v>
      </c>
      <c r="H14" s="59" t="s">
        <v>17</v>
      </c>
      <c r="I14" s="411">
        <v>46017</v>
      </c>
    </row>
    <row r="15" spans="2:9" ht="26.4" customHeight="1" x14ac:dyDescent="0.6">
      <c r="B15" s="108">
        <v>9</v>
      </c>
      <c r="C15" s="442"/>
      <c r="D15" s="108">
        <v>20</v>
      </c>
      <c r="E15" s="54" t="s">
        <v>464</v>
      </c>
      <c r="F15" s="506"/>
      <c r="G15" s="56">
        <v>1500</v>
      </c>
      <c r="H15" s="59" t="s">
        <v>17</v>
      </c>
      <c r="I15" s="411">
        <v>46017</v>
      </c>
    </row>
    <row r="16" spans="2:9" ht="26.4" customHeight="1" x14ac:dyDescent="0.6">
      <c r="B16" s="108">
        <v>10</v>
      </c>
      <c r="C16" s="442"/>
      <c r="D16" s="108">
        <v>10</v>
      </c>
      <c r="E16" s="54" t="s">
        <v>465</v>
      </c>
      <c r="F16" s="506"/>
      <c r="G16" s="56">
        <v>1043</v>
      </c>
      <c r="H16" s="59" t="s">
        <v>17</v>
      </c>
      <c r="I16" s="411">
        <v>46017</v>
      </c>
    </row>
    <row r="17" spans="2:9" ht="26.4" customHeight="1" x14ac:dyDescent="0.6">
      <c r="B17" s="108">
        <v>11</v>
      </c>
      <c r="C17" s="442"/>
      <c r="D17" s="108">
        <v>10</v>
      </c>
      <c r="E17" s="54" t="s">
        <v>469</v>
      </c>
      <c r="F17" s="506"/>
      <c r="G17" s="56">
        <v>1200</v>
      </c>
      <c r="H17" s="59" t="s">
        <v>17</v>
      </c>
      <c r="I17" s="411">
        <v>46017</v>
      </c>
    </row>
    <row r="18" spans="2:9" ht="23.4" x14ac:dyDescent="0.6">
      <c r="B18" s="108">
        <v>12</v>
      </c>
      <c r="C18" s="442"/>
      <c r="D18" s="108">
        <v>10</v>
      </c>
      <c r="E18" s="54" t="s">
        <v>470</v>
      </c>
      <c r="F18" s="506"/>
      <c r="G18" s="56">
        <v>643</v>
      </c>
      <c r="H18" s="59" t="s">
        <v>17</v>
      </c>
      <c r="I18" s="411">
        <v>46017</v>
      </c>
    </row>
    <row r="19" spans="2:9" ht="26.4" customHeight="1" x14ac:dyDescent="0.6">
      <c r="B19" s="108">
        <v>13</v>
      </c>
      <c r="C19" s="442"/>
      <c r="D19" s="108">
        <v>60</v>
      </c>
      <c r="E19" s="54" t="s">
        <v>475</v>
      </c>
      <c r="F19" s="506"/>
      <c r="G19" s="56">
        <v>1000</v>
      </c>
      <c r="H19" s="59" t="s">
        <v>17</v>
      </c>
      <c r="I19" s="411">
        <v>46019</v>
      </c>
    </row>
    <row r="20" spans="2:9" ht="26.4" customHeight="1" x14ac:dyDescent="0.6">
      <c r="B20" s="108">
        <v>14</v>
      </c>
      <c r="C20" s="442"/>
      <c r="D20" s="108">
        <v>60</v>
      </c>
      <c r="E20" s="54" t="s">
        <v>476</v>
      </c>
      <c r="F20" s="506"/>
      <c r="G20" s="56">
        <v>234</v>
      </c>
      <c r="H20" s="59" t="s">
        <v>17</v>
      </c>
      <c r="I20" s="411">
        <v>46019</v>
      </c>
    </row>
    <row r="21" spans="2:9" ht="26.4" customHeight="1" x14ac:dyDescent="0.6">
      <c r="B21" s="108">
        <v>15</v>
      </c>
      <c r="C21" s="442"/>
      <c r="D21" s="108">
        <v>60</v>
      </c>
      <c r="E21" s="54" t="s">
        <v>480</v>
      </c>
      <c r="F21" s="506">
        <v>3792</v>
      </c>
      <c r="G21" s="56">
        <v>61</v>
      </c>
      <c r="H21" s="59" t="s">
        <v>17</v>
      </c>
      <c r="I21" s="411">
        <v>46037</v>
      </c>
    </row>
    <row r="22" spans="2:9" ht="26.4" customHeight="1" x14ac:dyDescent="0.6">
      <c r="B22" s="108">
        <v>16</v>
      </c>
      <c r="C22" s="442"/>
      <c r="D22" s="108"/>
      <c r="E22" s="54"/>
      <c r="F22" s="506"/>
      <c r="G22" s="56"/>
      <c r="H22" s="59"/>
      <c r="I22" s="411"/>
    </row>
    <row r="23" spans="2:9" ht="26.4" customHeight="1" x14ac:dyDescent="0.6">
      <c r="B23" s="108">
        <v>17</v>
      </c>
      <c r="C23" s="442"/>
      <c r="D23" s="108"/>
      <c r="E23" s="54"/>
      <c r="F23" s="506"/>
      <c r="G23" s="56"/>
      <c r="H23" s="59"/>
      <c r="I23" s="411"/>
    </row>
    <row r="24" spans="2:9" ht="26.4" customHeight="1" x14ac:dyDescent="0.6">
      <c r="B24" s="108">
        <v>18</v>
      </c>
      <c r="C24" s="442"/>
      <c r="D24" s="108"/>
      <c r="E24" s="54"/>
      <c r="F24" s="506"/>
      <c r="G24" s="56"/>
      <c r="H24" s="59"/>
      <c r="I24" s="411"/>
    </row>
    <row r="25" spans="2:9" ht="26.4" customHeight="1" x14ac:dyDescent="0.6">
      <c r="B25" s="108">
        <v>19</v>
      </c>
      <c r="C25" s="442"/>
      <c r="D25" s="108"/>
      <c r="E25" s="54"/>
      <c r="F25" s="506"/>
      <c r="G25" s="56"/>
      <c r="H25" s="59"/>
      <c r="I25" s="411"/>
    </row>
    <row r="26" spans="2:9" ht="26.4" customHeight="1" x14ac:dyDescent="0.6">
      <c r="B26" s="108">
        <v>20</v>
      </c>
      <c r="C26" s="442"/>
      <c r="D26" s="108"/>
      <c r="E26" s="54"/>
      <c r="F26" s="506"/>
      <c r="G26" s="56"/>
      <c r="H26" s="59"/>
      <c r="I26" s="411"/>
    </row>
    <row r="27" spans="2:9" ht="26.4" customHeight="1" x14ac:dyDescent="0.6">
      <c r="B27" s="108">
        <v>21</v>
      </c>
      <c r="C27" s="442"/>
      <c r="D27" s="108"/>
      <c r="E27" s="54"/>
      <c r="F27" s="506"/>
      <c r="G27" s="56"/>
      <c r="H27" s="59"/>
      <c r="I27" s="430"/>
    </row>
    <row r="28" spans="2:9" ht="23.4" x14ac:dyDescent="0.6">
      <c r="B28" s="108">
        <v>22</v>
      </c>
      <c r="C28" s="54"/>
      <c r="D28" s="55"/>
      <c r="E28" s="54"/>
      <c r="F28" s="506"/>
      <c r="G28" s="56"/>
      <c r="H28" s="57"/>
      <c r="I28" s="50"/>
    </row>
    <row r="29" spans="2:9" ht="46.8" customHeight="1" x14ac:dyDescent="0.45">
      <c r="B29" s="7"/>
      <c r="C29" s="12"/>
      <c r="D29" s="9"/>
      <c r="E29" s="9"/>
      <c r="F29" s="32" t="s">
        <v>18</v>
      </c>
      <c r="G29" s="33">
        <f>SUM(G7:G28)</f>
        <v>26978</v>
      </c>
      <c r="H29" s="12" t="s">
        <v>468</v>
      </c>
      <c r="I29" s="7"/>
    </row>
    <row r="30" spans="2:9" ht="46.8" customHeight="1" x14ac:dyDescent="0.45">
      <c r="B30" s="7"/>
      <c r="C30" s="12"/>
      <c r="D30" s="9"/>
      <c r="E30" s="9"/>
      <c r="F30" s="34" t="s">
        <v>19</v>
      </c>
      <c r="G30" s="35">
        <f>$C$4-G29</f>
        <v>23022</v>
      </c>
      <c r="H30" s="12"/>
      <c r="I30" s="7"/>
    </row>
    <row r="31" spans="2:9" ht="46.8" customHeight="1" x14ac:dyDescent="0.45">
      <c r="B31" s="7"/>
      <c r="C31" s="12"/>
      <c r="D31" s="9"/>
      <c r="E31" s="9"/>
      <c r="F31" s="39" t="s">
        <v>477</v>
      </c>
      <c r="G31" s="37">
        <f>$G$29/$C$4</f>
        <v>0.53956000000000004</v>
      </c>
      <c r="H31" s="38"/>
      <c r="I31" s="7"/>
    </row>
    <row r="32" spans="2:9" ht="46.8" customHeight="1" x14ac:dyDescent="0.45">
      <c r="B32" s="7"/>
      <c r="C32" s="12"/>
      <c r="D32" s="9"/>
      <c r="E32" s="9"/>
      <c r="F32" s="39" t="s">
        <v>478</v>
      </c>
      <c r="G32" s="504">
        <f>'All Job balance report'!L29</f>
        <v>213147.72024908738</v>
      </c>
      <c r="H32" s="12"/>
      <c r="I32" s="7"/>
    </row>
    <row r="33" spans="2:9" ht="46.8" customHeight="1" x14ac:dyDescent="0.45">
      <c r="B33" s="7"/>
      <c r="C33" s="12"/>
      <c r="D33" s="9"/>
      <c r="E33" s="9"/>
      <c r="F33" s="39" t="s">
        <v>479</v>
      </c>
      <c r="G33" s="504">
        <f>G32-G29</f>
        <v>186169.72024908738</v>
      </c>
      <c r="H33" s="12"/>
      <c r="I33" s="7"/>
    </row>
    <row r="34" spans="2:9" ht="46.8" customHeight="1" x14ac:dyDescent="0.45">
      <c r="B34" s="7"/>
      <c r="C34" s="12"/>
      <c r="D34" s="9"/>
      <c r="E34" s="9"/>
      <c r="F34" s="39"/>
      <c r="G34" s="37"/>
      <c r="H34" s="38"/>
      <c r="I34" s="7"/>
    </row>
    <row r="35" spans="2:9" ht="70.2" x14ac:dyDescent="0.6">
      <c r="B35" s="444"/>
      <c r="C35" s="28"/>
      <c r="D35" s="28"/>
      <c r="E35" s="54" t="s">
        <v>467</v>
      </c>
      <c r="F35" s="508"/>
      <c r="G35" s="56">
        <v>63000</v>
      </c>
      <c r="H35" s="433" t="s">
        <v>17</v>
      </c>
      <c r="I35" s="411">
        <v>46017</v>
      </c>
    </row>
    <row r="36" spans="2:9" ht="23.4" x14ac:dyDescent="0.6">
      <c r="B36" s="498"/>
      <c r="C36" s="499"/>
      <c r="D36" s="499"/>
      <c r="E36" s="500"/>
      <c r="F36" s="509"/>
      <c r="G36" s="501"/>
      <c r="H36" s="502"/>
      <c r="I36" s="503"/>
    </row>
    <row r="37" spans="2:9" ht="26.4" x14ac:dyDescent="0.55000000000000004">
      <c r="B37" s="4"/>
      <c r="C37" s="11"/>
      <c r="D37" s="9"/>
      <c r="E37" s="10"/>
      <c r="F37" s="497"/>
      <c r="G37" s="3"/>
      <c r="H37" s="7"/>
      <c r="I37" s="7"/>
    </row>
    <row r="38" spans="2:9" ht="26.4" x14ac:dyDescent="0.55000000000000004">
      <c r="B38" s="143" t="s">
        <v>79</v>
      </c>
      <c r="C38" s="144" t="str">
        <f>'All Job balance report'!B2</f>
        <v>PEK-2500/001</v>
      </c>
      <c r="D38" s="12"/>
      <c r="E38" s="13"/>
      <c r="F38" s="497"/>
      <c r="G38" s="3"/>
      <c r="H38" s="7"/>
      <c r="I38" s="7"/>
    </row>
    <row r="39" spans="2:9" ht="22.2" x14ac:dyDescent="0.55000000000000004">
      <c r="B39" s="82" t="s">
        <v>54</v>
      </c>
      <c r="C39" s="85">
        <v>20000</v>
      </c>
      <c r="D39" s="15"/>
      <c r="E39" s="17"/>
      <c r="F39" s="505"/>
      <c r="G39" s="18"/>
      <c r="H39" s="18"/>
      <c r="I39" s="18"/>
    </row>
    <row r="40" spans="2:9" x14ac:dyDescent="0.25">
      <c r="B40" s="557" t="s">
        <v>23</v>
      </c>
      <c r="C40" s="557" t="s">
        <v>28</v>
      </c>
      <c r="D40" s="559"/>
      <c r="E40" s="555" t="s">
        <v>13</v>
      </c>
      <c r="F40" s="555" t="s">
        <v>54</v>
      </c>
      <c r="G40" s="555" t="s">
        <v>55</v>
      </c>
      <c r="H40" s="555" t="s">
        <v>56</v>
      </c>
      <c r="I40" s="555" t="s">
        <v>57</v>
      </c>
    </row>
    <row r="41" spans="2:9" x14ac:dyDescent="0.25">
      <c r="B41" s="558"/>
      <c r="C41" s="558"/>
      <c r="D41" s="560"/>
      <c r="E41" s="555"/>
      <c r="F41" s="555"/>
      <c r="G41" s="555"/>
      <c r="H41" s="555"/>
      <c r="I41" s="555"/>
    </row>
    <row r="42" spans="2:9" ht="20.399999999999999" x14ac:dyDescent="0.3">
      <c r="B42" s="73">
        <v>1</v>
      </c>
      <c r="C42" s="77">
        <v>10</v>
      </c>
      <c r="D42" s="77"/>
      <c r="E42" s="83" t="s">
        <v>25</v>
      </c>
      <c r="F42" s="510">
        <v>8000</v>
      </c>
      <c r="G42" s="94">
        <f>SUMIF($D$7:$D$35,$C$42,$G$7:$G$35)</f>
        <v>6754</v>
      </c>
      <c r="H42" s="96">
        <f>F42-G42</f>
        <v>1246</v>
      </c>
      <c r="I42" s="84"/>
    </row>
    <row r="43" spans="2:9" ht="20.399999999999999" x14ac:dyDescent="0.3">
      <c r="B43" s="74">
        <v>2</v>
      </c>
      <c r="C43" s="80">
        <v>20</v>
      </c>
      <c r="D43" s="80"/>
      <c r="E43" s="83" t="s">
        <v>26</v>
      </c>
      <c r="F43" s="510">
        <v>5000</v>
      </c>
      <c r="G43" s="94">
        <f>SUMIF($D$7:$D$35,$C$43,$G$7:$G$35)</f>
        <v>3000</v>
      </c>
      <c r="H43" s="96">
        <f t="shared" ref="H43:H49" si="0">F43-G43</f>
        <v>2000</v>
      </c>
      <c r="I43" s="84"/>
    </row>
    <row r="44" spans="2:9" ht="20.399999999999999" x14ac:dyDescent="0.3">
      <c r="B44" s="75">
        <v>3</v>
      </c>
      <c r="C44" s="80">
        <v>30</v>
      </c>
      <c r="D44" s="80"/>
      <c r="E44" s="83" t="s">
        <v>48</v>
      </c>
      <c r="F44" s="510"/>
      <c r="G44" s="94">
        <f>SUMIF($D$7:$D$35,$C$44,$G$7:$G$35)</f>
        <v>0</v>
      </c>
      <c r="H44" s="96">
        <f t="shared" si="0"/>
        <v>0</v>
      </c>
      <c r="I44" s="81"/>
    </row>
    <row r="45" spans="2:9" ht="20.399999999999999" x14ac:dyDescent="0.3">
      <c r="B45" s="75">
        <v>4</v>
      </c>
      <c r="C45" s="80">
        <v>40</v>
      </c>
      <c r="D45" s="80"/>
      <c r="E45" s="83" t="s">
        <v>49</v>
      </c>
      <c r="F45" s="510"/>
      <c r="G45" s="94">
        <f>SUMIF($D$7:$D$35,$C$45,$G$7:$G$35)</f>
        <v>0</v>
      </c>
      <c r="H45" s="96">
        <f t="shared" si="0"/>
        <v>0</v>
      </c>
      <c r="I45" s="81"/>
    </row>
    <row r="46" spans="2:9" ht="20.399999999999999" x14ac:dyDescent="0.3">
      <c r="B46" s="75">
        <v>5</v>
      </c>
      <c r="C46" s="80">
        <v>50</v>
      </c>
      <c r="D46" s="80"/>
      <c r="E46" s="83" t="s">
        <v>47</v>
      </c>
      <c r="F46" s="510"/>
      <c r="G46" s="94">
        <f>SUMIF($D$7:$D$35,$C$46,$G$7:$G$35)</f>
        <v>0</v>
      </c>
      <c r="H46" s="96">
        <f t="shared" si="0"/>
        <v>0</v>
      </c>
      <c r="I46" s="81"/>
    </row>
    <row r="47" spans="2:9" ht="20.399999999999999" x14ac:dyDescent="0.3">
      <c r="B47" s="76">
        <v>6</v>
      </c>
      <c r="C47" s="80">
        <v>60</v>
      </c>
      <c r="D47" s="80"/>
      <c r="E47" s="83" t="s">
        <v>51</v>
      </c>
      <c r="F47" s="510">
        <f>C39</f>
        <v>20000</v>
      </c>
      <c r="G47" s="94">
        <f>SUMIF($D$7:$D$35,$C$47,$G$7:$G$35)</f>
        <v>17224</v>
      </c>
      <c r="H47" s="96">
        <f t="shared" si="0"/>
        <v>2776</v>
      </c>
      <c r="I47" s="81"/>
    </row>
    <row r="48" spans="2:9" ht="20.399999999999999" x14ac:dyDescent="0.3">
      <c r="B48" s="76">
        <v>7</v>
      </c>
      <c r="C48" s="80">
        <v>70</v>
      </c>
      <c r="D48" s="80"/>
      <c r="E48" s="83" t="s">
        <v>52</v>
      </c>
      <c r="F48" s="510"/>
      <c r="G48" s="94">
        <f>SUMIF($D$7:$D$35,$C$48,$G$7:$G$35)</f>
        <v>0</v>
      </c>
      <c r="H48" s="96">
        <f t="shared" si="0"/>
        <v>0</v>
      </c>
      <c r="I48" s="81"/>
    </row>
    <row r="49" spans="2:9" ht="20.399999999999999" x14ac:dyDescent="0.3">
      <c r="B49" s="76">
        <v>8</v>
      </c>
      <c r="C49" s="80">
        <v>80</v>
      </c>
      <c r="D49" s="80"/>
      <c r="E49" s="83" t="s">
        <v>53</v>
      </c>
      <c r="F49" s="510"/>
      <c r="G49" s="94">
        <f>SUMIF($D$7:$D$35,$C$49,$G$7:$G$35)</f>
        <v>0</v>
      </c>
      <c r="H49" s="96">
        <f t="shared" si="0"/>
        <v>0</v>
      </c>
      <c r="I49" s="81"/>
    </row>
    <row r="50" spans="2:9" ht="20.399999999999999" x14ac:dyDescent="0.35">
      <c r="B50" s="89"/>
      <c r="C50" s="90"/>
      <c r="D50" s="90"/>
      <c r="E50" s="91" t="s">
        <v>59</v>
      </c>
      <c r="F50" s="511">
        <f>SUM(F42:F49)</f>
        <v>33000</v>
      </c>
      <c r="G50" s="92">
        <f>SUM(G42:G49)</f>
        <v>26978</v>
      </c>
      <c r="H50" s="97">
        <f>SUM(H42:H49)</f>
        <v>6022</v>
      </c>
      <c r="I50" s="93"/>
    </row>
    <row r="51" spans="2:9" ht="15" x14ac:dyDescent="0.25">
      <c r="B51" s="41"/>
      <c r="C51" s="40"/>
      <c r="D51" s="40"/>
      <c r="E51" s="40"/>
      <c r="F51" s="512"/>
      <c r="G51" s="42"/>
      <c r="H51" s="43"/>
      <c r="I51" s="43"/>
    </row>
    <row r="52" spans="2:9" ht="15" x14ac:dyDescent="0.25">
      <c r="B52" s="41"/>
      <c r="C52" s="40"/>
      <c r="D52" s="40"/>
      <c r="E52" s="40"/>
      <c r="F52" s="512"/>
      <c r="G52" s="42"/>
      <c r="H52" s="43"/>
      <c r="I52" s="43"/>
    </row>
    <row r="53" spans="2:9" ht="15" x14ac:dyDescent="0.25">
      <c r="B53" s="41"/>
      <c r="C53" s="40"/>
      <c r="D53" s="40"/>
      <c r="E53" s="40"/>
      <c r="F53" s="512"/>
      <c r="G53" s="42"/>
      <c r="H53" s="43"/>
      <c r="I53" s="43"/>
    </row>
    <row r="54" spans="2:9" ht="15" x14ac:dyDescent="0.25">
      <c r="B54" s="41"/>
      <c r="C54" s="40"/>
      <c r="D54" s="40"/>
      <c r="E54" s="40"/>
      <c r="F54" s="512"/>
      <c r="G54" s="42"/>
      <c r="H54" s="43"/>
      <c r="I54" s="43"/>
    </row>
    <row r="55" spans="2:9" ht="18" x14ac:dyDescent="0.45">
      <c r="B55" s="7"/>
      <c r="C55" s="12"/>
      <c r="D55" s="9"/>
      <c r="E55" s="9"/>
      <c r="F55" s="39"/>
      <c r="G55" s="44"/>
      <c r="H55" s="12"/>
      <c r="I55" s="7"/>
    </row>
    <row r="56" spans="2:9" ht="18" x14ac:dyDescent="0.45">
      <c r="B56" s="7"/>
      <c r="C56" s="12"/>
      <c r="D56" s="9"/>
      <c r="E56" s="9"/>
      <c r="F56" s="45"/>
      <c r="G56" s="46"/>
      <c r="H56" s="12"/>
      <c r="I56" s="7"/>
    </row>
    <row r="57" spans="2:9" ht="18" x14ac:dyDescent="0.45">
      <c r="B57" s="7"/>
      <c r="C57" s="12"/>
      <c r="D57" s="9"/>
      <c r="E57" s="9"/>
      <c r="F57" s="9"/>
      <c r="G57" s="12"/>
      <c r="H57" s="12"/>
      <c r="I57" s="7"/>
    </row>
  </sheetData>
  <mergeCells count="8">
    <mergeCell ref="H40:H41"/>
    <mergeCell ref="I40:I41"/>
    <mergeCell ref="E2:F3"/>
    <mergeCell ref="B40:B41"/>
    <mergeCell ref="C40:D41"/>
    <mergeCell ref="E40:E41"/>
    <mergeCell ref="F40:F41"/>
    <mergeCell ref="G40:G41"/>
  </mergeCells>
  <phoneticPr fontId="28" type="noConversion"/>
  <conditionalFormatting sqref="H42:H50">
    <cfRule type="cellIs" dxfId="52" priority="1" operator="lessThan">
      <formula>0</formula>
    </cfRule>
    <cfRule type="cellIs" dxfId="51" priority="3" operator="greaterThan">
      <formula>0</formula>
    </cfRule>
  </conditionalFormatting>
  <conditionalFormatting sqref="H52">
    <cfRule type="cellIs" dxfId="50" priority="2" operator="lessThan">
      <formula>0</formula>
    </cfRule>
  </conditionalFormatting>
  <pageMargins left="0.7" right="0.7" top="0.75" bottom="0.75" header="0.3" footer="0.3"/>
  <pageSetup paperSize="9" scale="49" fitToHeight="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9104-0D42-40C8-A00D-05CECBE1F19F}">
  <sheetPr>
    <pageSetUpPr fitToPage="1"/>
  </sheetPr>
  <dimension ref="A1:V41"/>
  <sheetViews>
    <sheetView zoomScale="55" zoomScaleNormal="55" zoomScaleSheetLayoutView="55" workbookViewId="0">
      <pane ySplit="1" topLeftCell="A8" activePane="bottomLeft" state="frozen"/>
      <selection activeCell="K24" sqref="K24"/>
      <selection pane="bottomLeft" activeCell="P36" sqref="P36"/>
    </sheetView>
  </sheetViews>
  <sheetFormatPr defaultRowHeight="21" x14ac:dyDescent="0.4"/>
  <cols>
    <col min="1" max="1" width="5.796875" style="112" customWidth="1"/>
    <col min="2" max="2" width="17.8984375" style="112" customWidth="1"/>
    <col min="3" max="3" width="50.3984375" style="112" customWidth="1"/>
    <col min="4" max="4" width="55.3984375" style="112" bestFit="1" customWidth="1"/>
    <col min="5" max="5" width="55.3984375" style="112" customWidth="1"/>
    <col min="6" max="6" width="43.59765625" style="112" customWidth="1"/>
    <col min="7" max="8" width="20.59765625" style="112" customWidth="1"/>
    <col min="9" max="9" width="18.3984375" style="112" customWidth="1"/>
    <col min="10" max="10" width="25.796875" style="112" customWidth="1"/>
    <col min="11" max="11" width="23.69921875" style="112" customWidth="1"/>
    <col min="12" max="12" width="28.8984375" style="112" customWidth="1"/>
    <col min="13" max="15" width="23.09765625" style="112" customWidth="1"/>
    <col min="16" max="16" width="20.5" style="553" customWidth="1"/>
    <col min="17" max="19" width="23.09765625" style="112" customWidth="1"/>
    <col min="20" max="20" width="18.09765625" style="112" customWidth="1"/>
    <col min="21" max="21" width="12.5" style="112" customWidth="1"/>
    <col min="22" max="22" width="11.796875" style="112" customWidth="1"/>
    <col min="23" max="16384" width="8.796875" style="112"/>
  </cols>
  <sheetData>
    <row r="1" spans="1:22" ht="43.5" customHeight="1" x14ac:dyDescent="0.4">
      <c r="A1" s="392" t="s">
        <v>63</v>
      </c>
      <c r="B1" s="393" t="s">
        <v>76</v>
      </c>
      <c r="C1" s="393" t="s">
        <v>64</v>
      </c>
      <c r="D1" s="393" t="s">
        <v>65</v>
      </c>
      <c r="E1" s="554" t="s">
        <v>638</v>
      </c>
      <c r="F1" s="393" t="s">
        <v>13</v>
      </c>
      <c r="G1" s="393" t="s">
        <v>66</v>
      </c>
      <c r="H1" s="393" t="s">
        <v>54</v>
      </c>
      <c r="I1" s="394" t="s">
        <v>78</v>
      </c>
      <c r="J1" s="395" t="s">
        <v>190</v>
      </c>
      <c r="K1" s="394" t="s">
        <v>67</v>
      </c>
      <c r="L1" s="394" t="s">
        <v>426</v>
      </c>
      <c r="M1" s="111" t="s">
        <v>405</v>
      </c>
      <c r="N1" s="111" t="s">
        <v>406</v>
      </c>
      <c r="O1" s="460" t="s">
        <v>407</v>
      </c>
      <c r="P1" s="111" t="s">
        <v>461</v>
      </c>
      <c r="Q1" s="460" t="s">
        <v>424</v>
      </c>
      <c r="R1" s="460" t="s">
        <v>427</v>
      </c>
      <c r="S1" s="460" t="s">
        <v>425</v>
      </c>
      <c r="T1" s="196" t="s">
        <v>68</v>
      </c>
      <c r="U1" s="111" t="s">
        <v>69</v>
      </c>
      <c r="V1" s="111" t="s">
        <v>70</v>
      </c>
    </row>
    <row r="2" spans="1:22" x14ac:dyDescent="0.4">
      <c r="A2" s="396">
        <v>1</v>
      </c>
      <c r="B2" s="421" t="s">
        <v>481</v>
      </c>
      <c r="C2" s="114" t="s">
        <v>359</v>
      </c>
      <c r="D2" s="114" t="s">
        <v>304</v>
      </c>
      <c r="E2" s="114"/>
      <c r="F2" s="481" t="s">
        <v>305</v>
      </c>
      <c r="G2" s="422">
        <v>66000</v>
      </c>
      <c r="H2" s="423">
        <f>'01 PEK-001 Pen Eak'!F43</f>
        <v>58500</v>
      </c>
      <c r="I2" s="424">
        <f>'01 PEK-001 Pen Eak'!F44</f>
        <v>0.11363636363636363</v>
      </c>
      <c r="J2" s="425">
        <f t="shared" ref="J2:J5" si="0">I2*G2</f>
        <v>7500</v>
      </c>
      <c r="K2" s="426">
        <f>'01 PEK-001 Pen Eak'!H43</f>
        <v>-3658.6399999999994</v>
      </c>
      <c r="L2" s="426">
        <f t="shared" ref="L2:L4" si="1">J2+K2</f>
        <v>3841.3600000000006</v>
      </c>
      <c r="M2" s="462">
        <v>1</v>
      </c>
      <c r="N2" s="462">
        <v>0</v>
      </c>
      <c r="O2" s="482"/>
      <c r="P2" s="462">
        <v>1</v>
      </c>
      <c r="Q2" s="468">
        <f>$Q$30*L2</f>
        <v>960.34000000000015</v>
      </c>
      <c r="R2" s="478">
        <v>45997</v>
      </c>
      <c r="S2" s="468">
        <v>960.34</v>
      </c>
      <c r="T2" s="465">
        <f>L2/G2</f>
        <v>5.820242424242425E-2</v>
      </c>
      <c r="U2" s="410">
        <v>1</v>
      </c>
      <c r="V2" s="427">
        <v>1</v>
      </c>
    </row>
    <row r="3" spans="1:22" x14ac:dyDescent="0.4">
      <c r="A3" s="396">
        <v>2</v>
      </c>
      <c r="B3" s="421" t="s">
        <v>482</v>
      </c>
      <c r="C3" s="114" t="s">
        <v>358</v>
      </c>
      <c r="D3" s="114" t="s">
        <v>323</v>
      </c>
      <c r="E3" s="114"/>
      <c r="F3" s="481" t="s">
        <v>324</v>
      </c>
      <c r="G3" s="422">
        <v>330000</v>
      </c>
      <c r="H3" s="423">
        <f>'02 JPP-001 งานชัยนาท'!F31</f>
        <v>325000</v>
      </c>
      <c r="I3" s="424">
        <f>'02 JPP-001 งานชัยนาท'!F32</f>
        <v>1.5151515151515152E-2</v>
      </c>
      <c r="J3" s="425">
        <f t="shared" si="0"/>
        <v>5000</v>
      </c>
      <c r="K3" s="426">
        <f>'02 JPP-001 งานชัยนาท'!H31</f>
        <v>0</v>
      </c>
      <c r="L3" s="426">
        <f t="shared" si="1"/>
        <v>5000</v>
      </c>
      <c r="M3" s="462">
        <v>0.8</v>
      </c>
      <c r="N3" s="462">
        <v>0.2</v>
      </c>
      <c r="O3" s="482">
        <v>46021</v>
      </c>
      <c r="P3" s="462">
        <v>1</v>
      </c>
      <c r="Q3" s="468"/>
      <c r="R3" s="468"/>
      <c r="S3" s="468"/>
      <c r="T3" s="465">
        <f t="shared" ref="T3:T5" si="2">L3/G3</f>
        <v>1.5151515151515152E-2</v>
      </c>
      <c r="U3" s="410">
        <v>1</v>
      </c>
      <c r="V3" s="427">
        <v>0.8</v>
      </c>
    </row>
    <row r="4" spans="1:22" x14ac:dyDescent="0.4">
      <c r="A4" s="396">
        <v>3</v>
      </c>
      <c r="B4" s="421" t="s">
        <v>483</v>
      </c>
      <c r="C4" s="114" t="s">
        <v>391</v>
      </c>
      <c r="D4" s="114" t="s">
        <v>437</v>
      </c>
      <c r="E4" s="114"/>
      <c r="F4" s="481" t="s">
        <v>325</v>
      </c>
      <c r="G4" s="422">
        <v>163000</v>
      </c>
      <c r="H4" s="423">
        <f>'03 TG-002 เปลี่ยน ACB'!F38</f>
        <v>149500</v>
      </c>
      <c r="I4" s="424">
        <f>'03 TG-002 เปลี่ยน ACB'!F39</f>
        <v>8.2822085889570546E-2</v>
      </c>
      <c r="J4" s="425">
        <f t="shared" si="0"/>
        <v>13499.999999999998</v>
      </c>
      <c r="K4" s="426">
        <f>'03 TG-002 เปลี่ยน ACB'!H38</f>
        <v>9483</v>
      </c>
      <c r="L4" s="426">
        <f t="shared" si="1"/>
        <v>22983</v>
      </c>
      <c r="M4" s="462">
        <v>1</v>
      </c>
      <c r="N4" s="462">
        <v>0</v>
      </c>
      <c r="O4" s="482"/>
      <c r="P4" s="462">
        <v>1</v>
      </c>
      <c r="Q4" s="468"/>
      <c r="R4" s="468"/>
      <c r="S4" s="468"/>
      <c r="T4" s="465">
        <f t="shared" si="2"/>
        <v>0.14099999999999999</v>
      </c>
      <c r="U4" s="410">
        <v>1</v>
      </c>
      <c r="V4" s="427">
        <v>1</v>
      </c>
    </row>
    <row r="5" spans="1:22" x14ac:dyDescent="0.4">
      <c r="A5" s="396">
        <v>4</v>
      </c>
      <c r="B5" s="113" t="s">
        <v>484</v>
      </c>
      <c r="C5" s="114" t="s">
        <v>360</v>
      </c>
      <c r="D5" s="114" t="s">
        <v>357</v>
      </c>
      <c r="E5" s="114"/>
      <c r="F5" s="114" t="s">
        <v>372</v>
      </c>
      <c r="G5" s="115">
        <f>20564+11896</f>
        <v>32460</v>
      </c>
      <c r="H5" s="423">
        <f>'04 PKE-001 ติดตั้งลากสาย RASA1'!F44</f>
        <v>24400</v>
      </c>
      <c r="I5" s="424">
        <f>'04 PKE-001 ติดตั้งลากสาย RASA1'!F45</f>
        <v>0.24830560690080097</v>
      </c>
      <c r="J5" s="425">
        <f t="shared" si="0"/>
        <v>8060</v>
      </c>
      <c r="K5" s="426">
        <f>'04 PKE-001 ติดตั้งลากสาย RASA1'!H44</f>
        <v>718.92000000000007</v>
      </c>
      <c r="L5" s="426">
        <f>J5+K5</f>
        <v>8778.92</v>
      </c>
      <c r="M5" s="462">
        <v>1</v>
      </c>
      <c r="N5" s="462">
        <v>0</v>
      </c>
      <c r="O5" s="482"/>
      <c r="P5" s="462">
        <v>1</v>
      </c>
      <c r="Q5" s="468">
        <f>$Q$30*L5</f>
        <v>2194.73</v>
      </c>
      <c r="R5" s="478">
        <v>45997</v>
      </c>
      <c r="S5" s="468">
        <v>2194.73</v>
      </c>
      <c r="T5" s="465">
        <f t="shared" si="2"/>
        <v>0.27045348120764018</v>
      </c>
      <c r="U5" s="410">
        <v>1</v>
      </c>
      <c r="V5" s="427">
        <v>1</v>
      </c>
    </row>
    <row r="6" spans="1:22" x14ac:dyDescent="0.4">
      <c r="A6" s="396">
        <v>5</v>
      </c>
      <c r="B6" s="113" t="s">
        <v>485</v>
      </c>
      <c r="C6" s="114" t="s">
        <v>377</v>
      </c>
      <c r="D6" s="114" t="s">
        <v>378</v>
      </c>
      <c r="E6" s="114"/>
      <c r="F6" s="114" t="s">
        <v>379</v>
      </c>
      <c r="G6" s="115">
        <v>26000</v>
      </c>
      <c r="H6" s="423">
        <v>17800</v>
      </c>
      <c r="I6" s="424">
        <f>'05 QMP-001งาน PM 315kVA'!F38</f>
        <v>0.27692307692307694</v>
      </c>
      <c r="J6" s="425">
        <f t="shared" ref="J6" si="3">I6*G6</f>
        <v>7200</v>
      </c>
      <c r="K6" s="426">
        <f>'05 QMP-001งาน PM 315kVA'!H37</f>
        <v>733</v>
      </c>
      <c r="L6" s="426">
        <f>J6+K6</f>
        <v>7933</v>
      </c>
      <c r="M6" s="462">
        <v>1</v>
      </c>
      <c r="N6" s="462">
        <v>0</v>
      </c>
      <c r="O6" s="482"/>
      <c r="P6" s="462">
        <v>1</v>
      </c>
      <c r="Q6" s="468">
        <f>$Q$30*L6</f>
        <v>1983.25</v>
      </c>
      <c r="R6" s="478">
        <v>45997</v>
      </c>
      <c r="S6" s="468">
        <v>1983.25</v>
      </c>
      <c r="T6" s="465">
        <f t="shared" ref="T6:T8" si="4">L6/G6</f>
        <v>0.30511538461538462</v>
      </c>
      <c r="U6" s="410">
        <v>1</v>
      </c>
      <c r="V6" s="427">
        <v>1</v>
      </c>
    </row>
    <row r="7" spans="1:22" x14ac:dyDescent="0.4">
      <c r="A7" s="396">
        <v>6</v>
      </c>
      <c r="B7" s="421" t="s">
        <v>487</v>
      </c>
      <c r="C7" s="459" t="s">
        <v>392</v>
      </c>
      <c r="D7" s="114" t="s">
        <v>393</v>
      </c>
      <c r="E7" s="114"/>
      <c r="F7" s="114" t="s">
        <v>394</v>
      </c>
      <c r="G7" s="423">
        <f>'06 UNT-001 รพ.ภัทรเวช'!C33</f>
        <v>371100</v>
      </c>
      <c r="H7" s="423">
        <f>'06 UNT-001 รพ.ภัทรเวช'!F45</f>
        <v>371100</v>
      </c>
      <c r="I7" s="424">
        <f>'06 UNT-001 รพ.ภัทรเวช'!F46</f>
        <v>0</v>
      </c>
      <c r="J7" s="425">
        <f>'06 UNT-001 รพ.ภัทรเวช'!F47</f>
        <v>0</v>
      </c>
      <c r="K7" s="426">
        <f>'06 UNT-001 รพ.ภัทรเวช'!H45</f>
        <v>20179.719999999972</v>
      </c>
      <c r="L7" s="426">
        <f>J7+K7</f>
        <v>20179.719999999972</v>
      </c>
      <c r="M7" s="462">
        <v>0.8</v>
      </c>
      <c r="N7" s="462">
        <v>0</v>
      </c>
      <c r="O7" s="478">
        <v>46020</v>
      </c>
      <c r="P7" s="462">
        <v>0.8</v>
      </c>
      <c r="Q7" s="468"/>
      <c r="R7" s="468"/>
      <c r="S7" s="468"/>
      <c r="T7" s="465">
        <f t="shared" si="4"/>
        <v>5.437811910536236E-2</v>
      </c>
      <c r="U7" s="410">
        <v>1</v>
      </c>
      <c r="V7" s="427">
        <v>0.8</v>
      </c>
    </row>
    <row r="8" spans="1:22" x14ac:dyDescent="0.4">
      <c r="A8" s="396">
        <v>7</v>
      </c>
      <c r="B8" s="113" t="s">
        <v>486</v>
      </c>
      <c r="C8" s="114" t="s">
        <v>410</v>
      </c>
      <c r="D8" s="114" t="s">
        <v>409</v>
      </c>
      <c r="E8" s="114"/>
      <c r="F8" s="114" t="s">
        <v>408</v>
      </c>
      <c r="G8" s="423">
        <v>37500</v>
      </c>
      <c r="H8" s="423">
        <f>'07 SUT-001 บ้านห้วยขวาง'!F45</f>
        <v>28290</v>
      </c>
      <c r="I8" s="424">
        <f>'07 SUT-001 บ้านห้วยขวาง'!F46</f>
        <v>0.24560000000000001</v>
      </c>
      <c r="J8" s="425">
        <f>'07 SUT-001 บ้านห้วยขวาง'!F47</f>
        <v>9210</v>
      </c>
      <c r="K8" s="426">
        <f>'07 SUT-001 บ้านห้วยขวาง'!H45</f>
        <v>-6690.1999999999971</v>
      </c>
      <c r="L8" s="426">
        <f>'07 SUT-001 บ้านห้วยขวาง'!F48</f>
        <v>2519.8000000000029</v>
      </c>
      <c r="M8" s="462">
        <v>1</v>
      </c>
      <c r="N8" s="462">
        <v>0</v>
      </c>
      <c r="O8" s="482"/>
      <c r="P8" s="462">
        <v>0.9</v>
      </c>
      <c r="Q8" s="468">
        <f>$Q$30*L8</f>
        <v>629.95000000000073</v>
      </c>
      <c r="R8" s="478">
        <v>45997</v>
      </c>
      <c r="S8" s="468">
        <v>2388.54</v>
      </c>
      <c r="T8" s="465">
        <f t="shared" si="4"/>
        <v>6.719466666666675E-2</v>
      </c>
      <c r="U8" s="410">
        <v>1</v>
      </c>
      <c r="V8" s="427">
        <v>0.95</v>
      </c>
    </row>
    <row r="9" spans="1:22" x14ac:dyDescent="0.4">
      <c r="A9" s="396">
        <v>8</v>
      </c>
      <c r="B9" s="113" t="s">
        <v>488</v>
      </c>
      <c r="C9" s="114" t="s">
        <v>438</v>
      </c>
      <c r="D9" s="114" t="s">
        <v>357</v>
      </c>
      <c r="E9" s="114"/>
      <c r="F9" s="114" t="s">
        <v>439</v>
      </c>
      <c r="G9" s="115">
        <v>7000</v>
      </c>
      <c r="H9" s="423">
        <v>4000</v>
      </c>
      <c r="I9" s="424">
        <f>'08 PKE-002 ติดตั้งพัดลมระบายอาก'!F44</f>
        <v>0.37142857142857144</v>
      </c>
      <c r="J9" s="425">
        <f t="shared" ref="J9" si="5">I9*G9</f>
        <v>2600</v>
      </c>
      <c r="K9" s="426">
        <f>'08 PKE-002 ติดตั้งพัดลมระบายอาก'!H43</f>
        <v>857</v>
      </c>
      <c r="L9" s="426">
        <v>0</v>
      </c>
      <c r="M9" s="462">
        <v>1</v>
      </c>
      <c r="N9" s="462">
        <v>1</v>
      </c>
      <c r="O9" s="482">
        <v>46052</v>
      </c>
      <c r="P9" s="462">
        <v>1</v>
      </c>
      <c r="Q9" s="468"/>
      <c r="R9" s="478"/>
      <c r="S9" s="468"/>
      <c r="T9" s="465">
        <f>L9/G9</f>
        <v>0</v>
      </c>
      <c r="U9" s="410">
        <v>1</v>
      </c>
      <c r="V9" s="427">
        <v>1</v>
      </c>
    </row>
    <row r="10" spans="1:22" ht="41.4" customHeight="1" x14ac:dyDescent="0.4">
      <c r="A10" s="396"/>
      <c r="B10" s="114"/>
      <c r="C10" s="114"/>
      <c r="D10" s="114"/>
      <c r="E10" s="114"/>
      <c r="F10" s="406" t="s">
        <v>71</v>
      </c>
      <c r="G10" s="407">
        <f>SUM(G2:G9)</f>
        <v>1033060</v>
      </c>
      <c r="H10" s="408">
        <f t="shared" ref="H10:L10" si="6">SUM(H2:H9)</f>
        <v>978590</v>
      </c>
      <c r="I10" s="440">
        <f>L10/G10</f>
        <v>6.8956110971289161E-2</v>
      </c>
      <c r="J10" s="409">
        <f t="shared" si="6"/>
        <v>53070</v>
      </c>
      <c r="K10" s="492">
        <f t="shared" si="6"/>
        <v>21622.799999999974</v>
      </c>
      <c r="L10" s="491">
        <f t="shared" si="6"/>
        <v>71235.799999999974</v>
      </c>
      <c r="M10" s="463"/>
      <c r="N10" s="463"/>
      <c r="O10" s="483"/>
      <c r="P10" s="490"/>
      <c r="Q10" s="477"/>
      <c r="R10" s="477"/>
      <c r="S10" s="477"/>
      <c r="T10" s="466"/>
      <c r="U10" s="116"/>
      <c r="V10" s="116"/>
    </row>
    <row r="11" spans="1:22" ht="29.4" customHeight="1" x14ac:dyDescent="0.4">
      <c r="A11" s="396"/>
      <c r="B11" s="114"/>
      <c r="C11" s="114"/>
      <c r="D11" s="114"/>
      <c r="E11" s="114"/>
      <c r="F11" s="406"/>
      <c r="G11" s="515"/>
      <c r="H11" s="515"/>
      <c r="I11" s="516"/>
      <c r="J11" s="517"/>
      <c r="K11" s="492"/>
      <c r="L11" s="518"/>
      <c r="M11" s="519"/>
      <c r="N11" s="519"/>
      <c r="O11" s="520"/>
      <c r="P11" s="490"/>
      <c r="Q11" s="521"/>
      <c r="R11" s="521"/>
      <c r="S11" s="521"/>
      <c r="T11" s="466"/>
      <c r="U11" s="116"/>
      <c r="V11" s="116"/>
    </row>
    <row r="12" spans="1:22" x14ac:dyDescent="0.4">
      <c r="A12" s="396">
        <v>9</v>
      </c>
      <c r="B12" s="113" t="s">
        <v>490</v>
      </c>
      <c r="C12" s="114" t="s">
        <v>491</v>
      </c>
      <c r="D12" s="114" t="s">
        <v>493</v>
      </c>
      <c r="E12" s="114"/>
      <c r="F12" s="114" t="s">
        <v>494</v>
      </c>
      <c r="G12" s="446">
        <v>12000</v>
      </c>
      <c r="H12" s="446">
        <f>'09 JEP-2601-001'!F45</f>
        <v>12800</v>
      </c>
      <c r="I12" s="424">
        <f>'09 JEP-2601-001'!F46</f>
        <v>-6.6666666666666666E-2</v>
      </c>
      <c r="J12" s="425">
        <f t="shared" ref="J12:J14" si="7">I12*G12</f>
        <v>-800</v>
      </c>
      <c r="K12" s="426">
        <f>'09 JEP-2601-001'!H45</f>
        <v>-45555</v>
      </c>
      <c r="L12" s="426">
        <f t="shared" ref="L12:L16" si="8">J12+K12</f>
        <v>-46355</v>
      </c>
      <c r="M12" s="462">
        <v>1</v>
      </c>
      <c r="N12" s="462"/>
      <c r="O12" s="482"/>
      <c r="P12" s="462">
        <v>1</v>
      </c>
      <c r="Q12" s="468"/>
      <c r="R12" s="478"/>
      <c r="S12" s="468"/>
      <c r="T12" s="465">
        <f>L12/G12</f>
        <v>-3.8629166666666666</v>
      </c>
      <c r="U12" s="410">
        <v>1</v>
      </c>
      <c r="V12" s="427">
        <v>1</v>
      </c>
    </row>
    <row r="13" spans="1:22" x14ac:dyDescent="0.4">
      <c r="A13" s="396">
        <v>10</v>
      </c>
      <c r="B13" s="421" t="s">
        <v>489</v>
      </c>
      <c r="C13" s="114" t="s">
        <v>492</v>
      </c>
      <c r="D13" s="114" t="s">
        <v>393</v>
      </c>
      <c r="E13" s="114"/>
      <c r="F13" s="114" t="s">
        <v>510</v>
      </c>
      <c r="G13" s="446">
        <f>'10 UNT-2601-001 รพ.ภัทรเวช (2)'!G23+'10 UNT-2601-001 รพ.ภัทรเวช (2)'!G24+'10 UNT-2601-001 รพ.ภัทรเวช (2)'!G25+'10 UNT-2601-001 รพ.ภัทรเวช (2)'!G26</f>
        <v>143840.18</v>
      </c>
      <c r="H13" s="446">
        <f>'10 UNT-2601-001 รพ.ภัทรเวช (2)'!G45</f>
        <v>128708.19</v>
      </c>
      <c r="I13" s="424">
        <f>'10 UNT-2601-001 รพ.ภัทรเวช (2)'!F46</f>
        <v>0</v>
      </c>
      <c r="J13" s="425">
        <f t="shared" si="7"/>
        <v>0</v>
      </c>
      <c r="K13" s="426">
        <f>'10 UNT-2601-001 รพ.ภัทรเวช (2)'!H45</f>
        <v>15131.989999999991</v>
      </c>
      <c r="L13" s="426">
        <f t="shared" si="8"/>
        <v>15131.989999999991</v>
      </c>
      <c r="M13" s="462">
        <v>1</v>
      </c>
      <c r="N13" s="462">
        <v>0</v>
      </c>
      <c r="O13" s="482">
        <v>46081</v>
      </c>
      <c r="P13" s="462">
        <v>1</v>
      </c>
      <c r="Q13" s="468"/>
      <c r="R13" s="478"/>
      <c r="S13" s="468"/>
      <c r="T13" s="465">
        <f>L13/G13</f>
        <v>0.10520002130141934</v>
      </c>
      <c r="U13" s="410">
        <v>1</v>
      </c>
      <c r="V13" s="427">
        <v>1</v>
      </c>
    </row>
    <row r="14" spans="1:22" x14ac:dyDescent="0.4">
      <c r="A14" s="396">
        <v>11</v>
      </c>
      <c r="B14" s="113" t="s">
        <v>513</v>
      </c>
      <c r="C14" s="114" t="s">
        <v>514</v>
      </c>
      <c r="D14" s="114" t="s">
        <v>515</v>
      </c>
      <c r="E14" s="114"/>
      <c r="F14" s="114" t="s">
        <v>516</v>
      </c>
      <c r="G14" s="446">
        <v>42000</v>
      </c>
      <c r="H14" s="446">
        <f>'11 TMD-2601-001'!F45</f>
        <v>40000</v>
      </c>
      <c r="I14" s="424">
        <f>'11 TMD-2601-001'!F46</f>
        <v>4.7619047619047616E-2</v>
      </c>
      <c r="J14" s="425">
        <f t="shared" si="7"/>
        <v>2000</v>
      </c>
      <c r="K14" s="426">
        <f>'11 TMD-2601-001'!H45</f>
        <v>3000</v>
      </c>
      <c r="L14" s="426">
        <f t="shared" si="8"/>
        <v>5000</v>
      </c>
      <c r="M14" s="462">
        <v>1</v>
      </c>
      <c r="N14" s="462">
        <v>0</v>
      </c>
      <c r="O14" s="482"/>
      <c r="P14" s="462">
        <v>1</v>
      </c>
      <c r="Q14" s="468"/>
      <c r="R14" s="478"/>
      <c r="S14" s="468"/>
      <c r="T14" s="465">
        <f>L14/G14</f>
        <v>0.11904761904761904</v>
      </c>
      <c r="U14" s="410">
        <v>1</v>
      </c>
      <c r="V14" s="427">
        <v>1</v>
      </c>
    </row>
    <row r="15" spans="1:22" x14ac:dyDescent="0.4">
      <c r="A15" s="396">
        <v>12</v>
      </c>
      <c r="B15" s="113" t="s">
        <v>518</v>
      </c>
      <c r="C15" s="114" t="s">
        <v>528</v>
      </c>
      <c r="D15" s="114" t="s">
        <v>515</v>
      </c>
      <c r="E15" s="114"/>
      <c r="F15" s="114" t="s">
        <v>519</v>
      </c>
      <c r="G15" s="446">
        <f>'12 TMD-2601-002'!M17</f>
        <v>69855</v>
      </c>
      <c r="H15" s="446">
        <f>'12 TMD-2601-002'!F45</f>
        <v>40000</v>
      </c>
      <c r="I15" s="424">
        <f>'12 TMD-2601-002'!F46</f>
        <v>0.42738529811752918</v>
      </c>
      <c r="J15" s="425">
        <f t="shared" ref="J15" si="9">I15*G15</f>
        <v>29855</v>
      </c>
      <c r="K15" s="426">
        <f>'12 TMD-2601-002'!H45</f>
        <v>1903.67</v>
      </c>
      <c r="L15" s="426">
        <f t="shared" si="8"/>
        <v>31758.67</v>
      </c>
      <c r="M15" s="462">
        <v>0</v>
      </c>
      <c r="N15" s="462">
        <v>1</v>
      </c>
      <c r="O15" s="482">
        <v>46192</v>
      </c>
      <c r="P15" s="462">
        <v>1</v>
      </c>
      <c r="Q15" s="468"/>
      <c r="R15" s="478"/>
      <c r="S15" s="468"/>
      <c r="T15" s="465">
        <f>L15/G15</f>
        <v>0.4546370338558442</v>
      </c>
      <c r="U15" s="410">
        <v>1</v>
      </c>
      <c r="V15" s="427">
        <v>1</v>
      </c>
    </row>
    <row r="16" spans="1:22" x14ac:dyDescent="0.4">
      <c r="A16" s="396">
        <v>13</v>
      </c>
      <c r="B16" s="421" t="s">
        <v>482</v>
      </c>
      <c r="C16" s="114" t="s">
        <v>528</v>
      </c>
      <c r="D16" s="114" t="s">
        <v>323</v>
      </c>
      <c r="E16" s="114"/>
      <c r="F16" s="481" t="s">
        <v>529</v>
      </c>
      <c r="G16" s="446">
        <v>19000</v>
      </c>
      <c r="H16" s="446">
        <f>'13 JPP-2601-001'!F45</f>
        <v>15000</v>
      </c>
      <c r="I16" s="424">
        <f>'13 JPP-2601-001'!F46</f>
        <v>0.78526948679407349</v>
      </c>
      <c r="J16" s="425">
        <f t="shared" ref="J16:J17" si="10">I16*G16</f>
        <v>14920.120249087397</v>
      </c>
      <c r="K16" s="426">
        <f>'13 JPP-2601-001'!H45</f>
        <v>14533.64</v>
      </c>
      <c r="L16" s="426">
        <f t="shared" si="8"/>
        <v>29453.760249087398</v>
      </c>
      <c r="M16" s="462">
        <v>0</v>
      </c>
      <c r="N16" s="462">
        <v>1</v>
      </c>
      <c r="O16" s="482">
        <v>46192</v>
      </c>
      <c r="P16" s="462">
        <v>1</v>
      </c>
      <c r="Q16" s="468"/>
      <c r="R16" s="478"/>
      <c r="S16" s="468"/>
      <c r="T16" s="465">
        <f>L16/G16</f>
        <v>1.5501979078467052</v>
      </c>
      <c r="U16" s="410">
        <v>1</v>
      </c>
      <c r="V16" s="427">
        <v>1</v>
      </c>
    </row>
    <row r="17" spans="1:22" x14ac:dyDescent="0.4">
      <c r="A17" s="396">
        <v>14</v>
      </c>
      <c r="B17" s="113" t="s">
        <v>539</v>
      </c>
      <c r="C17" s="114" t="s">
        <v>528</v>
      </c>
      <c r="D17" s="114" t="s">
        <v>515</v>
      </c>
      <c r="E17" s="114"/>
      <c r="F17" s="114" t="s">
        <v>540</v>
      </c>
      <c r="G17" s="446">
        <v>20000</v>
      </c>
      <c r="H17" s="446">
        <f>'14 TMD-2601-003'!F45</f>
        <v>16000</v>
      </c>
      <c r="I17" s="424">
        <f>'14 TMD-2601-003'!F46</f>
        <v>0.2</v>
      </c>
      <c r="J17" s="425">
        <f t="shared" si="10"/>
        <v>4000</v>
      </c>
      <c r="K17" s="426">
        <f>'14 TMD-2601-003'!H45</f>
        <v>16000</v>
      </c>
      <c r="L17" s="426">
        <f t="shared" ref="L17" si="11">J17+K17</f>
        <v>20000</v>
      </c>
      <c r="M17" s="462">
        <v>0</v>
      </c>
      <c r="N17" s="462">
        <v>1</v>
      </c>
      <c r="O17" s="482">
        <v>46192</v>
      </c>
      <c r="P17" s="462">
        <v>1</v>
      </c>
      <c r="Q17" s="468"/>
      <c r="R17" s="468"/>
      <c r="S17" s="468"/>
      <c r="T17" s="465"/>
      <c r="U17" s="410"/>
      <c r="V17" s="427"/>
    </row>
    <row r="18" spans="1:22" x14ac:dyDescent="0.4">
      <c r="A18" s="396">
        <v>15</v>
      </c>
      <c r="B18" s="113" t="s">
        <v>541</v>
      </c>
      <c r="C18" s="114" t="s">
        <v>528</v>
      </c>
      <c r="D18" s="114" t="s">
        <v>542</v>
      </c>
      <c r="E18" s="114"/>
      <c r="F18" s="114" t="s">
        <v>543</v>
      </c>
      <c r="G18" s="446">
        <v>65000</v>
      </c>
      <c r="H18" s="423"/>
      <c r="I18" s="424"/>
      <c r="J18" s="425"/>
      <c r="K18" s="426"/>
      <c r="L18" s="426"/>
      <c r="M18" s="462"/>
      <c r="N18" s="462"/>
      <c r="O18" s="482"/>
      <c r="P18" s="462">
        <v>1</v>
      </c>
      <c r="Q18" s="468"/>
      <c r="R18" s="468"/>
      <c r="S18" s="468"/>
      <c r="T18" s="465"/>
      <c r="U18" s="410"/>
      <c r="V18" s="427"/>
    </row>
    <row r="19" spans="1:22" x14ac:dyDescent="0.4">
      <c r="A19" s="396">
        <v>16</v>
      </c>
      <c r="B19" s="113" t="s">
        <v>544</v>
      </c>
      <c r="C19" s="114" t="s">
        <v>528</v>
      </c>
      <c r="D19" s="114" t="s">
        <v>545</v>
      </c>
      <c r="E19" s="114"/>
      <c r="F19" s="114" t="s">
        <v>546</v>
      </c>
      <c r="G19" s="446">
        <v>16000</v>
      </c>
      <c r="H19" s="423"/>
      <c r="I19" s="424"/>
      <c r="J19" s="425"/>
      <c r="K19" s="426"/>
      <c r="L19" s="426"/>
      <c r="M19" s="462"/>
      <c r="N19" s="462"/>
      <c r="O19" s="482"/>
      <c r="P19" s="462">
        <v>1</v>
      </c>
      <c r="Q19" s="468"/>
      <c r="R19" s="468"/>
      <c r="S19" s="468"/>
      <c r="T19" s="465"/>
      <c r="U19" s="410"/>
      <c r="V19" s="427"/>
    </row>
    <row r="20" spans="1:22" x14ac:dyDescent="0.4">
      <c r="A20" s="396">
        <v>17</v>
      </c>
      <c r="B20" s="113" t="s">
        <v>570</v>
      </c>
      <c r="C20" s="114"/>
      <c r="D20" s="114" t="s">
        <v>515</v>
      </c>
      <c r="E20" s="114"/>
      <c r="F20" s="114" t="s">
        <v>622</v>
      </c>
      <c r="G20" s="446">
        <v>620000</v>
      </c>
      <c r="H20" s="423">
        <f>'21 TMD-004'!F45</f>
        <v>550000</v>
      </c>
      <c r="I20" s="424">
        <f>'21 TMD-004'!F46</f>
        <v>0.11290322580645161</v>
      </c>
      <c r="J20" s="425">
        <f t="shared" ref="J20:J21" si="12">I20*G20</f>
        <v>70000</v>
      </c>
      <c r="K20" s="426">
        <f>'21 TMD-004'!H45</f>
        <v>10464.580000000002</v>
      </c>
      <c r="L20" s="426">
        <f t="shared" ref="L20:L21" si="13">J20+K20</f>
        <v>80464.58</v>
      </c>
      <c r="M20" s="462">
        <v>0.9</v>
      </c>
      <c r="N20" s="462"/>
      <c r="O20" s="482"/>
      <c r="P20" s="462">
        <v>0.9</v>
      </c>
      <c r="Q20" s="468"/>
      <c r="R20" s="468"/>
      <c r="S20" s="468"/>
      <c r="T20" s="465"/>
      <c r="U20" s="410"/>
      <c r="V20" s="427"/>
    </row>
    <row r="21" spans="1:22" x14ac:dyDescent="0.4">
      <c r="A21" s="396">
        <v>18</v>
      </c>
      <c r="B21" s="113" t="s">
        <v>571</v>
      </c>
      <c r="C21" s="114"/>
      <c r="D21" s="114" t="s">
        <v>515</v>
      </c>
      <c r="E21" s="114"/>
      <c r="F21" s="114" t="s">
        <v>567</v>
      </c>
      <c r="G21" s="446">
        <v>18000</v>
      </c>
      <c r="H21" s="423">
        <f>'22 TMD-005'!F45</f>
        <v>10000</v>
      </c>
      <c r="I21" s="424">
        <f>'22 TMD-005'!F46</f>
        <v>0.44444444444444442</v>
      </c>
      <c r="J21" s="425">
        <f t="shared" si="12"/>
        <v>8000</v>
      </c>
      <c r="K21" s="426">
        <f>'22 TMD-005'!H45</f>
        <v>10000</v>
      </c>
      <c r="L21" s="426">
        <f t="shared" si="13"/>
        <v>18000</v>
      </c>
      <c r="M21" s="462">
        <v>1</v>
      </c>
      <c r="N21" s="462"/>
      <c r="O21" s="482"/>
      <c r="P21" s="462">
        <v>0.8</v>
      </c>
      <c r="Q21" s="468"/>
      <c r="R21" s="468"/>
      <c r="S21" s="468"/>
      <c r="T21" s="465"/>
      <c r="U21" s="410"/>
      <c r="V21" s="427"/>
    </row>
    <row r="22" spans="1:22" x14ac:dyDescent="0.4">
      <c r="A22" s="396">
        <v>19</v>
      </c>
      <c r="B22" s="113" t="s">
        <v>572</v>
      </c>
      <c r="C22" s="114"/>
      <c r="D22" s="114" t="s">
        <v>568</v>
      </c>
      <c r="E22" s="114"/>
      <c r="F22" s="114" t="s">
        <v>575</v>
      </c>
      <c r="G22" s="446">
        <v>400000</v>
      </c>
      <c r="H22" s="423"/>
      <c r="I22" s="424"/>
      <c r="J22" s="425"/>
      <c r="K22" s="426"/>
      <c r="L22" s="426"/>
      <c r="M22" s="462"/>
      <c r="N22" s="462"/>
      <c r="O22" s="482"/>
      <c r="P22" s="462">
        <v>1</v>
      </c>
      <c r="Q22" s="468"/>
      <c r="R22" s="468"/>
      <c r="S22" s="468"/>
      <c r="T22" s="465"/>
      <c r="U22" s="410">
        <v>1</v>
      </c>
      <c r="V22" s="427"/>
    </row>
    <row r="23" spans="1:22" x14ac:dyDescent="0.4">
      <c r="A23" s="396">
        <v>20</v>
      </c>
      <c r="B23" s="113" t="s">
        <v>573</v>
      </c>
      <c r="C23" s="114"/>
      <c r="D23" s="114" t="s">
        <v>569</v>
      </c>
      <c r="E23" s="114"/>
      <c r="F23" s="114" t="s">
        <v>574</v>
      </c>
      <c r="G23" s="446">
        <v>235660</v>
      </c>
      <c r="H23" s="423"/>
      <c r="I23" s="424"/>
      <c r="J23" s="425"/>
      <c r="K23" s="426"/>
      <c r="L23" s="426"/>
      <c r="M23" s="462"/>
      <c r="N23" s="462"/>
      <c r="O23" s="482"/>
      <c r="P23" s="462">
        <v>1</v>
      </c>
      <c r="Q23" s="468"/>
      <c r="R23" s="468"/>
      <c r="S23" s="468"/>
      <c r="T23" s="465"/>
      <c r="U23" s="410">
        <v>1</v>
      </c>
      <c r="V23" s="427"/>
    </row>
    <row r="24" spans="1:22" x14ac:dyDescent="0.4">
      <c r="A24" s="396">
        <v>21</v>
      </c>
      <c r="B24" s="113" t="s">
        <v>626</v>
      </c>
      <c r="C24" s="114"/>
      <c r="D24" s="114" t="s">
        <v>515</v>
      </c>
      <c r="E24" s="114"/>
      <c r="F24" s="114" t="s">
        <v>625</v>
      </c>
      <c r="G24" s="446">
        <v>339693.72</v>
      </c>
      <c r="H24" s="423">
        <f>'23 TMD-006'!F45</f>
        <v>280000</v>
      </c>
      <c r="I24" s="424">
        <f>'23 TMD-006'!F46</f>
        <v>0.17572806468132521</v>
      </c>
      <c r="J24" s="425">
        <f t="shared" ref="J24" si="14">I24*G24</f>
        <v>59693.719999999972</v>
      </c>
      <c r="K24" s="426">
        <f>'23 TMD-006'!H45</f>
        <v>0</v>
      </c>
      <c r="L24" s="426">
        <f t="shared" ref="L24" si="15">J24+K24</f>
        <v>59693.719999999972</v>
      </c>
      <c r="M24" s="462">
        <v>0.9</v>
      </c>
      <c r="N24" s="462"/>
      <c r="O24" s="482"/>
      <c r="P24" s="462">
        <v>0.5</v>
      </c>
      <c r="Q24" s="468"/>
      <c r="R24" s="468"/>
      <c r="S24" s="468"/>
      <c r="T24" s="465"/>
      <c r="U24" s="410"/>
      <c r="V24" s="427"/>
    </row>
    <row r="25" spans="1:22" x14ac:dyDescent="0.4">
      <c r="A25" s="396">
        <v>22</v>
      </c>
      <c r="B25" s="113" t="s">
        <v>634</v>
      </c>
      <c r="C25" s="114" t="s">
        <v>635</v>
      </c>
      <c r="D25" s="114" t="s">
        <v>636</v>
      </c>
      <c r="E25" s="114"/>
      <c r="F25" s="114" t="s">
        <v>637</v>
      </c>
      <c r="G25" s="446">
        <v>300000</v>
      </c>
      <c r="H25" s="423"/>
      <c r="I25" s="424"/>
      <c r="J25" s="425"/>
      <c r="K25" s="426"/>
      <c r="L25" s="426"/>
      <c r="M25" s="462"/>
      <c r="N25" s="462"/>
      <c r="O25" s="482"/>
      <c r="P25" s="462"/>
      <c r="Q25" s="468"/>
      <c r="R25" s="468"/>
      <c r="S25" s="468"/>
      <c r="T25" s="465"/>
      <c r="U25" s="410">
        <v>1</v>
      </c>
      <c r="V25" s="427"/>
    </row>
    <row r="26" spans="1:22" x14ac:dyDescent="0.4">
      <c r="A26" s="396">
        <v>23</v>
      </c>
      <c r="B26" s="113"/>
      <c r="C26" s="114"/>
      <c r="D26" s="114"/>
      <c r="E26" s="114"/>
      <c r="F26" s="114"/>
      <c r="G26" s="446"/>
      <c r="H26" s="423"/>
      <c r="I26" s="424"/>
      <c r="J26" s="425"/>
      <c r="K26" s="426"/>
      <c r="L26" s="426"/>
      <c r="M26" s="462"/>
      <c r="N26" s="462"/>
      <c r="O26" s="482"/>
      <c r="P26" s="462"/>
      <c r="Q26" s="468"/>
      <c r="R26" s="468"/>
      <c r="S26" s="468"/>
      <c r="T26" s="465"/>
      <c r="U26" s="410">
        <v>1</v>
      </c>
      <c r="V26" s="427"/>
    </row>
    <row r="27" spans="1:22" x14ac:dyDescent="0.4">
      <c r="A27" s="396">
        <v>24</v>
      </c>
      <c r="B27" s="113"/>
      <c r="C27" s="114"/>
      <c r="D27" s="114"/>
      <c r="E27" s="114"/>
      <c r="F27" s="114"/>
      <c r="G27" s="446"/>
      <c r="H27" s="423"/>
      <c r="I27" s="424"/>
      <c r="J27" s="425"/>
      <c r="K27" s="426"/>
      <c r="L27" s="426"/>
      <c r="M27" s="462"/>
      <c r="N27" s="462"/>
      <c r="O27" s="482"/>
      <c r="P27" s="462"/>
      <c r="Q27" s="468"/>
      <c r="R27" s="468"/>
      <c r="S27" s="468"/>
      <c r="T27" s="465"/>
      <c r="U27" s="410">
        <v>1</v>
      </c>
      <c r="V27" s="427"/>
    </row>
    <row r="28" spans="1:22" x14ac:dyDescent="0.4">
      <c r="A28" s="396">
        <v>25</v>
      </c>
      <c r="B28" s="113"/>
      <c r="C28" s="114"/>
      <c r="D28" s="114"/>
      <c r="E28" s="114"/>
      <c r="F28" s="114"/>
      <c r="G28" s="446"/>
      <c r="H28" s="423"/>
      <c r="I28" s="424"/>
      <c r="J28" s="425"/>
      <c r="K28" s="426"/>
      <c r="L28" s="426"/>
      <c r="M28" s="462"/>
      <c r="N28" s="462"/>
      <c r="O28" s="482"/>
      <c r="P28" s="462"/>
      <c r="Q28" s="468"/>
      <c r="R28" s="468"/>
      <c r="S28" s="468"/>
      <c r="T28" s="465"/>
      <c r="U28" s="410">
        <v>1</v>
      </c>
      <c r="V28" s="427"/>
    </row>
    <row r="29" spans="1:22" ht="41.4" customHeight="1" x14ac:dyDescent="0.4">
      <c r="A29" s="396"/>
      <c r="B29" s="114"/>
      <c r="C29" s="114"/>
      <c r="D29" s="114"/>
      <c r="E29" s="114"/>
      <c r="F29" s="406" t="s">
        <v>71</v>
      </c>
      <c r="G29" s="407">
        <f>SUM(G12:G28)</f>
        <v>2301048.9</v>
      </c>
      <c r="H29" s="408">
        <f>SUM(H12:H28)</f>
        <v>1092508.19</v>
      </c>
      <c r="I29" s="440">
        <f>L29/G29</f>
        <v>9.2630678230735286E-2</v>
      </c>
      <c r="J29" s="409">
        <f>SUM(J12:J28)</f>
        <v>187668.84024908737</v>
      </c>
      <c r="K29" s="492">
        <f>SUM(K12:K28)</f>
        <v>25478.87999999999</v>
      </c>
      <c r="L29" s="491">
        <f>SUM(L12:L28)</f>
        <v>213147.72024908738</v>
      </c>
      <c r="M29" s="463"/>
      <c r="N29" s="463"/>
      <c r="O29" s="483"/>
      <c r="P29" s="490"/>
      <c r="Q29" s="477">
        <f>SUM(Q2:Q28)</f>
        <v>5768.27</v>
      </c>
      <c r="R29" s="477"/>
      <c r="S29" s="477"/>
      <c r="T29" s="466"/>
      <c r="U29" s="116"/>
      <c r="V29" s="116"/>
    </row>
    <row r="30" spans="1:22" ht="21.6" thickBot="1" x14ac:dyDescent="0.45">
      <c r="A30" s="493"/>
      <c r="B30" s="494"/>
      <c r="C30" s="494"/>
      <c r="D30" s="494"/>
      <c r="E30" s="494"/>
      <c r="F30" s="494"/>
      <c r="G30" s="397"/>
      <c r="H30" s="397"/>
      <c r="I30" s="398"/>
      <c r="J30" s="397"/>
      <c r="K30" s="197"/>
      <c r="L30" s="197"/>
      <c r="M30" s="464"/>
      <c r="N30" s="464"/>
      <c r="O30" s="484"/>
      <c r="P30" s="552"/>
      <c r="Q30" s="461">
        <v>0.25</v>
      </c>
      <c r="R30" s="461"/>
      <c r="S30" s="485">
        <f>SUM(S2:S29)</f>
        <v>7526.86</v>
      </c>
      <c r="T30" s="467"/>
      <c r="U30" s="118"/>
      <c r="V30" s="118"/>
    </row>
    <row r="31" spans="1:22" x14ac:dyDescent="0.4">
      <c r="A31" s="117"/>
      <c r="G31" s="119"/>
      <c r="H31" s="119"/>
      <c r="I31" s="120"/>
      <c r="J31" s="119"/>
      <c r="L31" s="587" t="s">
        <v>643</v>
      </c>
      <c r="M31" s="587"/>
      <c r="N31" s="587"/>
      <c r="O31" s="587"/>
      <c r="P31" s="587"/>
      <c r="Q31" s="587"/>
      <c r="R31" s="587"/>
      <c r="S31" s="587"/>
      <c r="T31" s="587"/>
      <c r="U31" s="587"/>
      <c r="V31" s="587"/>
    </row>
    <row r="32" spans="1:22" ht="21.6" thickBot="1" x14ac:dyDescent="0.45">
      <c r="A32" s="117"/>
      <c r="G32" s="119"/>
      <c r="H32" s="119"/>
      <c r="I32" s="120"/>
      <c r="J32" s="119"/>
      <c r="L32" s="588"/>
      <c r="M32" s="588"/>
      <c r="N32" s="588"/>
      <c r="O32" s="588"/>
      <c r="P32" s="588"/>
      <c r="Q32" s="588"/>
      <c r="R32" s="588"/>
      <c r="S32" s="588"/>
      <c r="T32" s="588"/>
      <c r="U32" s="588"/>
      <c r="V32" s="588"/>
    </row>
    <row r="33" spans="1:10" ht="21.6" thickBot="1" x14ac:dyDescent="0.45">
      <c r="A33" s="117"/>
      <c r="B33" s="121" t="s">
        <v>306</v>
      </c>
      <c r="C33" s="122" t="s">
        <v>72</v>
      </c>
      <c r="D33" s="123" t="s">
        <v>68</v>
      </c>
      <c r="E33" s="123"/>
      <c r="F33" s="122" t="s">
        <v>73</v>
      </c>
      <c r="G33" s="591"/>
      <c r="H33" s="592"/>
      <c r="I33" s="125"/>
      <c r="J33" s="124"/>
    </row>
    <row r="34" spans="1:10" x14ac:dyDescent="0.4">
      <c r="A34" s="117"/>
      <c r="B34" s="410">
        <v>1</v>
      </c>
      <c r="C34" s="126">
        <f>SUMIF($U$2:$U$28,$B$34,$G$2:$G$28)</f>
        <v>2255415.1799999997</v>
      </c>
      <c r="D34" s="441">
        <f ca="1">SUMIF($U$2:$U$28,$B$34,L12:$L$28)</f>
        <v>114683.14024908736</v>
      </c>
      <c r="E34" s="441"/>
      <c r="F34" s="127">
        <f ca="1">D34/C34</f>
        <v>5.0847906525612448E-2</v>
      </c>
      <c r="G34" s="593"/>
      <c r="H34" s="594"/>
      <c r="I34" s="129"/>
      <c r="J34" s="128"/>
    </row>
    <row r="35" spans="1:10" x14ac:dyDescent="0.4">
      <c r="A35" s="117"/>
      <c r="B35" s="130">
        <v>2</v>
      </c>
      <c r="C35" s="131">
        <f>SUMIF($U$2:$U$28,$B$35,$G$2:$G$28)</f>
        <v>0</v>
      </c>
      <c r="D35" s="131">
        <f>SUMIF($U$2:$U$28,$B$35,L2:$L$28)</f>
        <v>0</v>
      </c>
      <c r="E35" s="131"/>
      <c r="F35" s="132" t="e">
        <f>D35/C35</f>
        <v>#DIV/0!</v>
      </c>
      <c r="G35" s="595"/>
      <c r="H35" s="596"/>
      <c r="I35" s="134"/>
      <c r="J35" s="133"/>
    </row>
    <row r="36" spans="1:10" x14ac:dyDescent="0.4">
      <c r="A36" s="117"/>
      <c r="B36" s="135"/>
      <c r="C36" s="131"/>
      <c r="D36" s="131"/>
      <c r="E36" s="131"/>
      <c r="F36" s="132"/>
      <c r="G36" s="595"/>
      <c r="H36" s="596"/>
      <c r="I36" s="136"/>
      <c r="J36" s="133"/>
    </row>
    <row r="37" spans="1:10" ht="21.6" thickBot="1" x14ac:dyDescent="0.45">
      <c r="B37" s="137"/>
      <c r="C37" s="401"/>
      <c r="D37" s="138"/>
      <c r="E37" s="138"/>
      <c r="F37" s="139"/>
      <c r="G37" s="589"/>
      <c r="H37" s="590"/>
      <c r="I37" s="141"/>
      <c r="J37" s="140"/>
    </row>
    <row r="38" spans="1:10" x14ac:dyDescent="0.4">
      <c r="G38" s="119"/>
      <c r="H38" s="119"/>
      <c r="I38" s="120"/>
      <c r="J38" s="119"/>
    </row>
    <row r="39" spans="1:10" x14ac:dyDescent="0.4">
      <c r="I39" s="120"/>
    </row>
    <row r="40" spans="1:10" x14ac:dyDescent="0.4">
      <c r="I40" s="142"/>
    </row>
    <row r="41" spans="1:10" x14ac:dyDescent="0.4">
      <c r="I41" s="142"/>
    </row>
  </sheetData>
  <mergeCells count="6">
    <mergeCell ref="L31:V32"/>
    <mergeCell ref="G37:H37"/>
    <mergeCell ref="G33:H33"/>
    <mergeCell ref="G34:H34"/>
    <mergeCell ref="G35:H35"/>
    <mergeCell ref="G36:H36"/>
  </mergeCells>
  <phoneticPr fontId="28" type="noConversion"/>
  <conditionalFormatting sqref="I2:S9 I12:S28">
    <cfRule type="cellIs" dxfId="49" priority="10" operator="greaterThan">
      <formula>0</formula>
    </cfRule>
    <cfRule type="cellIs" dxfId="48" priority="22" operator="lessThan">
      <formula>0</formula>
    </cfRule>
  </conditionalFormatting>
  <conditionalFormatting sqref="J30:S30 J31:L31 J32:K32 J38:S38">
    <cfRule type="cellIs" dxfId="47" priority="26" operator="lessThan">
      <formula>0</formula>
    </cfRule>
  </conditionalFormatting>
  <conditionalFormatting sqref="P2:P9">
    <cfRule type="cellIs" dxfId="46" priority="4" operator="lessThan">
      <formula>1</formula>
    </cfRule>
  </conditionalFormatting>
  <conditionalFormatting sqref="P12:P17">
    <cfRule type="cellIs" dxfId="45" priority="1" operator="lessThan">
      <formula>1</formula>
    </cfRule>
  </conditionalFormatting>
  <conditionalFormatting sqref="Q2:S29">
    <cfRule type="cellIs" dxfId="44" priority="5" operator="greaterThan">
      <formula>0</formula>
    </cfRule>
  </conditionalFormatting>
  <conditionalFormatting sqref="Q2:S30 N2:O30">
    <cfRule type="cellIs" dxfId="43" priority="6" operator="greaterThan">
      <formula>0</formula>
    </cfRule>
  </conditionalFormatting>
  <conditionalFormatting sqref="V2:V30">
    <cfRule type="cellIs" dxfId="42" priority="7" operator="lessThan">
      <formula>1</formula>
    </cfRule>
    <cfRule type="cellIs" dxfId="41" priority="8" operator="equal">
      <formula>1</formula>
    </cfRule>
  </conditionalFormatting>
  <pageMargins left="0.7" right="0.7" top="0.75" bottom="0.75" header="0.3" footer="0.3"/>
  <pageSetup paperSize="9" scale="43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FB38-2F21-4591-9629-7532954D3250}">
  <sheetPr>
    <pageSetUpPr fitToPage="1"/>
  </sheetPr>
  <dimension ref="B1:Q55"/>
  <sheetViews>
    <sheetView topLeftCell="B20" zoomScale="85" zoomScaleNormal="85" workbookViewId="0">
      <selection activeCell="G36" sqref="G36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2" max="12" width="24.3984375" customWidth="1"/>
    <col min="13" max="13" width="12.296875" customWidth="1"/>
    <col min="17" max="17" width="11.19921875" customWidth="1"/>
  </cols>
  <sheetData>
    <row r="1" spans="2:17" ht="22.2" x14ac:dyDescent="0.35">
      <c r="B1" s="14" t="s">
        <v>0</v>
      </c>
      <c r="C1" s="2" t="str">
        <f>'All Job balance report'!D21</f>
        <v>Thai Meidensha Co., Ltd.</v>
      </c>
      <c r="D1" s="2"/>
      <c r="E1" s="2"/>
      <c r="F1" s="3"/>
      <c r="G1" s="3"/>
      <c r="H1" s="146" t="s">
        <v>1</v>
      </c>
      <c r="I1" s="147">
        <v>46113</v>
      </c>
    </row>
    <row r="2" spans="2:17" ht="22.2" x14ac:dyDescent="0.55000000000000004">
      <c r="B2" s="4" t="s">
        <v>2</v>
      </c>
      <c r="C2" s="5" t="str">
        <f>'All Job balance report'!F21</f>
        <v>งานติดตั้งท่อลากสายแอร์ OCC</v>
      </c>
      <c r="D2" s="5"/>
      <c r="E2" s="5"/>
      <c r="F2" s="3"/>
      <c r="G2" s="3"/>
      <c r="H2" s="146" t="s">
        <v>3</v>
      </c>
      <c r="I2" s="148"/>
    </row>
    <row r="3" spans="2:17" ht="22.2" x14ac:dyDescent="0.55000000000000004">
      <c r="B3" s="4" t="s">
        <v>74</v>
      </c>
      <c r="C3" s="145" t="str">
        <f>'All Job balance report'!B21</f>
        <v>TMD-2601/005</v>
      </c>
      <c r="D3" s="6"/>
      <c r="E3" s="6"/>
      <c r="F3" s="7"/>
      <c r="G3" s="7"/>
      <c r="H3" s="7"/>
      <c r="I3" s="7"/>
      <c r="M3" t="s">
        <v>84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7" ht="22.2" x14ac:dyDescent="0.55000000000000004">
      <c r="B5" s="4" t="s">
        <v>7</v>
      </c>
      <c r="C5" s="11">
        <f>C33</f>
        <v>339693.72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F45</f>
        <v>360000</v>
      </c>
      <c r="D6" s="12"/>
      <c r="E6" s="13"/>
      <c r="F6" s="10"/>
      <c r="G6" s="3"/>
      <c r="H6" s="7"/>
      <c r="I6" s="7"/>
      <c r="M6" t="s">
        <v>7</v>
      </c>
      <c r="P6" t="s">
        <v>536</v>
      </c>
      <c r="Q6" t="s">
        <v>123</v>
      </c>
    </row>
    <row r="7" spans="2:17" ht="22.2" x14ac:dyDescent="0.55000000000000004">
      <c r="B7" s="15" t="s">
        <v>9</v>
      </c>
      <c r="C7" s="16">
        <f>(C5-C6)/C5</f>
        <v>-5.9778202552581865E-2</v>
      </c>
      <c r="D7" s="15" t="s">
        <v>10</v>
      </c>
      <c r="E7" s="17">
        <v>1</v>
      </c>
      <c r="F7" s="18"/>
      <c r="G7" s="18"/>
      <c r="H7" s="18"/>
      <c r="I7" s="18"/>
      <c r="L7" t="s">
        <v>522</v>
      </c>
      <c r="M7" s="149">
        <v>21753.1</v>
      </c>
      <c r="O7" t="s">
        <v>535</v>
      </c>
      <c r="P7">
        <v>30</v>
      </c>
      <c r="Q7" s="149">
        <v>14000</v>
      </c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639</v>
      </c>
      <c r="G8" s="21" t="s">
        <v>14</v>
      </c>
      <c r="H8" s="19" t="s">
        <v>15</v>
      </c>
      <c r="I8" s="19" t="s">
        <v>16</v>
      </c>
      <c r="J8" s="20" t="s">
        <v>126</v>
      </c>
      <c r="L8" t="s">
        <v>523</v>
      </c>
      <c r="M8" s="149">
        <v>39301.1</v>
      </c>
      <c r="O8" t="s">
        <v>537</v>
      </c>
      <c r="P8">
        <v>25</v>
      </c>
      <c r="Q8" s="149">
        <f>400*P8</f>
        <v>10000</v>
      </c>
    </row>
    <row r="9" spans="2:17" ht="23.4" x14ac:dyDescent="0.6">
      <c r="B9" s="108">
        <v>1</v>
      </c>
      <c r="C9" s="54" t="s">
        <v>601</v>
      </c>
      <c r="D9" s="58">
        <v>20</v>
      </c>
      <c r="E9" s="54" t="s">
        <v>275</v>
      </c>
      <c r="F9" s="54"/>
      <c r="G9" s="71">
        <v>280000</v>
      </c>
      <c r="H9" s="59" t="s">
        <v>17</v>
      </c>
      <c r="I9" s="445">
        <v>46148</v>
      </c>
      <c r="J9" s="176"/>
      <c r="L9" t="s">
        <v>524</v>
      </c>
      <c r="M9" s="149">
        <v>0</v>
      </c>
      <c r="O9" t="s">
        <v>538</v>
      </c>
      <c r="P9">
        <v>6</v>
      </c>
      <c r="Q9" s="149">
        <v>6000</v>
      </c>
    </row>
    <row r="10" spans="2:17" ht="23.4" x14ac:dyDescent="0.6">
      <c r="B10" s="109">
        <v>2</v>
      </c>
      <c r="C10" s="54" t="s">
        <v>640</v>
      </c>
      <c r="D10" s="58">
        <v>10</v>
      </c>
      <c r="E10" s="54" t="s">
        <v>641</v>
      </c>
      <c r="F10" s="54" t="s">
        <v>642</v>
      </c>
      <c r="G10" s="71">
        <v>70000</v>
      </c>
      <c r="H10" s="59"/>
      <c r="I10" s="445"/>
      <c r="J10" s="176"/>
      <c r="L10" t="s">
        <v>525</v>
      </c>
      <c r="M10" s="149">
        <v>0</v>
      </c>
      <c r="Q10" s="149"/>
    </row>
    <row r="11" spans="2:17" ht="23.4" x14ac:dyDescent="0.6">
      <c r="B11" s="108">
        <v>3</v>
      </c>
      <c r="C11" s="54"/>
      <c r="D11" s="58"/>
      <c r="E11" s="54"/>
      <c r="F11" s="54"/>
      <c r="G11" s="71"/>
      <c r="H11" s="59"/>
      <c r="I11" s="445"/>
      <c r="J11" s="176"/>
      <c r="M11" s="149"/>
      <c r="Q11" s="149"/>
    </row>
    <row r="12" spans="2:17" ht="23.4" x14ac:dyDescent="0.6">
      <c r="B12" s="109">
        <v>4</v>
      </c>
      <c r="C12" s="54"/>
      <c r="D12" s="58"/>
      <c r="E12" s="55"/>
      <c r="F12" s="54"/>
      <c r="G12" s="71"/>
      <c r="H12" s="59"/>
      <c r="I12" s="445"/>
      <c r="J12" s="176"/>
      <c r="M12" s="149"/>
      <c r="Q12" s="149"/>
    </row>
    <row r="13" spans="2:17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  <c r="M13" s="149"/>
      <c r="Q13" s="149"/>
    </row>
    <row r="14" spans="2:17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  <c r="M14" s="149"/>
      <c r="Q14" s="149"/>
    </row>
    <row r="15" spans="2:17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  <c r="M15" s="149"/>
      <c r="Q15" s="149"/>
    </row>
    <row r="16" spans="2:17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  <c r="M16" s="149"/>
      <c r="Q16" s="149"/>
    </row>
    <row r="17" spans="2:17" ht="25.2" customHeight="1" thickBot="1" x14ac:dyDescent="0.65">
      <c r="B17" s="109">
        <v>11</v>
      </c>
      <c r="C17" s="55"/>
      <c r="D17" s="447"/>
      <c r="E17" s="448"/>
      <c r="F17" s="55"/>
      <c r="G17" s="71"/>
      <c r="H17" s="59"/>
      <c r="I17" s="445"/>
      <c r="J17" s="175"/>
      <c r="M17" s="514">
        <f>SUM(M7:M16)</f>
        <v>61054.2</v>
      </c>
      <c r="Q17" s="514">
        <f>SUM(Q7:Q16)</f>
        <v>30000</v>
      </c>
    </row>
    <row r="18" spans="2:17" ht="25.2" customHeight="1" thickTop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  <c r="M18" s="149"/>
    </row>
    <row r="19" spans="2:17" ht="25.2" customHeight="1" x14ac:dyDescent="0.6">
      <c r="B19" s="108">
        <v>13</v>
      </c>
      <c r="C19" s="55"/>
      <c r="D19" s="447"/>
      <c r="E19" s="448"/>
      <c r="F19" s="55"/>
      <c r="G19" s="71"/>
      <c r="H19" s="59"/>
      <c r="I19" s="445"/>
      <c r="J19" s="175"/>
      <c r="M19" s="149"/>
    </row>
    <row r="20" spans="2:17" ht="25.2" customHeight="1" x14ac:dyDescent="0.6">
      <c r="B20" s="109">
        <v>14</v>
      </c>
      <c r="C20" s="55"/>
      <c r="D20" s="447"/>
      <c r="E20" s="448"/>
      <c r="F20" s="55"/>
      <c r="G20" s="71"/>
      <c r="H20" s="59"/>
      <c r="I20" s="445"/>
      <c r="J20" s="175"/>
    </row>
    <row r="21" spans="2:17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7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7" ht="25.2" customHeight="1" x14ac:dyDescent="0.6">
      <c r="B23" s="109">
        <v>99</v>
      </c>
      <c r="C23" s="55"/>
      <c r="D23" s="58"/>
      <c r="E23" s="54"/>
      <c r="F23" s="55"/>
      <c r="G23" s="71"/>
      <c r="H23" s="59"/>
      <c r="I23" s="445"/>
      <c r="J23" s="175"/>
    </row>
    <row r="24" spans="2:17" ht="25.2" customHeight="1" x14ac:dyDescent="0.6">
      <c r="B24" s="108">
        <v>99</v>
      </c>
      <c r="C24" s="55"/>
      <c r="D24" s="58"/>
      <c r="E24" s="54"/>
      <c r="F24" s="54"/>
      <c r="G24" s="71"/>
      <c r="H24" s="59"/>
      <c r="I24" s="445"/>
      <c r="J24" s="176"/>
    </row>
    <row r="25" spans="2:17" ht="25.2" customHeight="1" x14ac:dyDescent="0.6">
      <c r="B25" s="108">
        <v>99</v>
      </c>
      <c r="C25" s="55"/>
      <c r="D25" s="58"/>
      <c r="E25" s="54"/>
      <c r="F25" s="54"/>
      <c r="G25" s="71"/>
      <c r="H25" s="59"/>
      <c r="I25" s="445"/>
      <c r="J25" s="175"/>
    </row>
    <row r="26" spans="2:17" ht="25.2" customHeight="1" x14ac:dyDescent="0.6">
      <c r="B26" s="108">
        <v>99</v>
      </c>
      <c r="C26" s="55"/>
      <c r="D26" s="58"/>
      <c r="E26" s="54"/>
      <c r="F26" s="54"/>
      <c r="G26" s="71"/>
      <c r="H26" s="59"/>
      <c r="I26" s="445"/>
      <c r="J26" s="175"/>
    </row>
    <row r="27" spans="2:17" ht="18" x14ac:dyDescent="0.45">
      <c r="B27" s="7"/>
      <c r="C27" s="12"/>
      <c r="D27" s="9"/>
      <c r="E27" s="9"/>
      <c r="F27" s="32" t="s">
        <v>18</v>
      </c>
      <c r="G27" s="33">
        <f>SUM(G9:G26)</f>
        <v>350000</v>
      </c>
      <c r="H27" s="12"/>
      <c r="I27" s="7"/>
    </row>
    <row r="28" spans="2:17" ht="18" x14ac:dyDescent="0.45">
      <c r="B28" s="7"/>
      <c r="C28" s="12"/>
      <c r="D28" s="9"/>
      <c r="E28" s="9"/>
      <c r="F28" s="34" t="s">
        <v>19</v>
      </c>
      <c r="G28" s="35">
        <f>$C$6-G27</f>
        <v>10000</v>
      </c>
      <c r="H28" s="12"/>
      <c r="I28" s="7"/>
    </row>
    <row r="29" spans="2:17" ht="18" x14ac:dyDescent="0.45">
      <c r="B29" s="7"/>
      <c r="C29" s="12"/>
      <c r="D29" s="9"/>
      <c r="E29" s="9"/>
      <c r="F29" s="12"/>
      <c r="G29" s="12"/>
      <c r="H29" s="12"/>
      <c r="I29" s="7"/>
    </row>
    <row r="30" spans="2:17" ht="18" x14ac:dyDescent="0.45">
      <c r="B30" s="7"/>
      <c r="C30" s="12"/>
      <c r="D30" s="9"/>
      <c r="E30" s="9"/>
      <c r="F30" s="36" t="s">
        <v>20</v>
      </c>
      <c r="G30" s="37">
        <f>G28/C6</f>
        <v>2.7777777777777776E-2</v>
      </c>
      <c r="H30" s="38"/>
      <c r="I30" s="7"/>
    </row>
    <row r="31" spans="2:17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7" ht="26.4" x14ac:dyDescent="0.55000000000000004">
      <c r="B32" s="143" t="s">
        <v>79</v>
      </c>
      <c r="C32" s="144" t="str">
        <f>'All Job balance report'!B21</f>
        <v>TMD-2601/005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'All Job balance report'!G24</f>
        <v>339693.72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80000</v>
      </c>
      <c r="G36" s="94">
        <f>SUMIF($D$9:$D$26,$C$36,$G$9:$G$26)</f>
        <v>70000</v>
      </c>
      <c r="H36" s="96">
        <f>F36-G36</f>
        <v>10000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v>280000</v>
      </c>
      <c r="G37" s="94">
        <f>SUMIF($D$9:$D$26,$C$37,$G$9:$G$26)</f>
        <v>280000</v>
      </c>
      <c r="H37" s="96">
        <f t="shared" ref="H37:H44" si="0">F37-G37</f>
        <v>0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0</v>
      </c>
      <c r="G40" s="94">
        <f>SUMIF($D$9:$D$26,$C$40,$G$9:$G$26)</f>
        <v>0</v>
      </c>
      <c r="H40" s="96">
        <f t="shared" si="0"/>
        <v>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360000</v>
      </c>
      <c r="G45" s="92">
        <f>SUM(G36:G44)</f>
        <v>350000</v>
      </c>
      <c r="H45" s="97">
        <f>SUM(H36:H44)</f>
        <v>10000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-5.9778202552581865E-2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-20306.280000000028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-10306.280000000028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-2576.570000000007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40" priority="1" operator="lessThan">
      <formula>0</formula>
    </cfRule>
    <cfRule type="cellIs" dxfId="39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8767-07E2-4D7A-98CC-7523CCA9C625}">
  <sheetPr>
    <pageSetUpPr fitToPage="1"/>
  </sheetPr>
  <dimension ref="B1:Q55"/>
  <sheetViews>
    <sheetView zoomScale="55" zoomScaleNormal="55" workbookViewId="0">
      <selection activeCell="M45" sqref="M45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2" max="12" width="24.3984375" customWidth="1"/>
    <col min="13" max="13" width="12.296875" customWidth="1"/>
    <col min="17" max="17" width="11.19921875" customWidth="1"/>
  </cols>
  <sheetData>
    <row r="1" spans="2:17" ht="22.2" x14ac:dyDescent="0.35">
      <c r="B1" s="14" t="s">
        <v>0</v>
      </c>
      <c r="C1" s="2" t="str">
        <f>'All Job balance report'!D21</f>
        <v>Thai Meidensha Co., Ltd.</v>
      </c>
      <c r="D1" s="2"/>
      <c r="E1" s="2"/>
      <c r="F1" s="3"/>
      <c r="G1" s="3"/>
      <c r="H1" s="146" t="s">
        <v>1</v>
      </c>
      <c r="I1" s="147">
        <v>46113</v>
      </c>
    </row>
    <row r="2" spans="2:17" ht="22.2" x14ac:dyDescent="0.55000000000000004">
      <c r="B2" s="4" t="s">
        <v>2</v>
      </c>
      <c r="C2" s="5" t="str">
        <f>'All Job balance report'!F21</f>
        <v>งานติดตั้งท่อลากสายแอร์ OCC</v>
      </c>
      <c r="D2" s="5"/>
      <c r="E2" s="5"/>
      <c r="F2" s="3"/>
      <c r="G2" s="3"/>
      <c r="H2" s="146" t="s">
        <v>3</v>
      </c>
      <c r="I2" s="148"/>
    </row>
    <row r="3" spans="2:17" ht="22.2" x14ac:dyDescent="0.55000000000000004">
      <c r="B3" s="4" t="s">
        <v>74</v>
      </c>
      <c r="C3" s="145" t="str">
        <f>'All Job balance report'!B21</f>
        <v>TMD-2601/005</v>
      </c>
      <c r="D3" s="6"/>
      <c r="E3" s="6"/>
      <c r="F3" s="7"/>
      <c r="G3" s="7"/>
      <c r="H3" s="7"/>
      <c r="I3" s="7"/>
      <c r="M3" t="s">
        <v>84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7" ht="22.2" x14ac:dyDescent="0.55000000000000004">
      <c r="B5" s="4" t="s">
        <v>7</v>
      </c>
      <c r="C5" s="11">
        <f>C33</f>
        <v>339693.72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F45</f>
        <v>280000</v>
      </c>
      <c r="D6" s="12"/>
      <c r="E6" s="13"/>
      <c r="F6" s="10"/>
      <c r="G6" s="3"/>
      <c r="H6" s="7"/>
      <c r="I6" s="7"/>
      <c r="M6" t="s">
        <v>7</v>
      </c>
      <c r="P6" t="s">
        <v>536</v>
      </c>
      <c r="Q6" t="s">
        <v>123</v>
      </c>
    </row>
    <row r="7" spans="2:17" ht="22.2" x14ac:dyDescent="0.55000000000000004">
      <c r="B7" s="15" t="s">
        <v>9</v>
      </c>
      <c r="C7" s="16">
        <f>(C5-C6)/C5</f>
        <v>0.17572806468132521</v>
      </c>
      <c r="D7" s="15" t="s">
        <v>10</v>
      </c>
      <c r="E7" s="17">
        <v>1</v>
      </c>
      <c r="F7" s="18"/>
      <c r="G7" s="18"/>
      <c r="H7" s="18"/>
      <c r="I7" s="18"/>
      <c r="L7" t="s">
        <v>522</v>
      </c>
      <c r="M7" s="149">
        <v>21753.1</v>
      </c>
      <c r="O7" t="s">
        <v>535</v>
      </c>
      <c r="P7">
        <v>30</v>
      </c>
      <c r="Q7" s="149">
        <v>14000</v>
      </c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L8" t="s">
        <v>523</v>
      </c>
      <c r="M8" s="149">
        <v>39301.1</v>
      </c>
      <c r="O8" t="s">
        <v>537</v>
      </c>
      <c r="P8">
        <v>25</v>
      </c>
      <c r="Q8" s="149">
        <f>400*P8</f>
        <v>10000</v>
      </c>
    </row>
    <row r="9" spans="2:17" ht="23.4" x14ac:dyDescent="0.6">
      <c r="B9" s="108">
        <v>1</v>
      </c>
      <c r="C9" s="54" t="s">
        <v>601</v>
      </c>
      <c r="D9" s="58">
        <v>20</v>
      </c>
      <c r="E9" s="54" t="s">
        <v>275</v>
      </c>
      <c r="F9" s="54"/>
      <c r="G9" s="71">
        <v>280000</v>
      </c>
      <c r="H9" s="59" t="s">
        <v>17</v>
      </c>
      <c r="I9" s="445">
        <v>46148</v>
      </c>
      <c r="J9" s="176"/>
      <c r="L9" t="s">
        <v>524</v>
      </c>
      <c r="M9" s="149">
        <v>0</v>
      </c>
      <c r="O9" t="s">
        <v>538</v>
      </c>
      <c r="P9">
        <v>6</v>
      </c>
      <c r="Q9" s="149">
        <v>6000</v>
      </c>
    </row>
    <row r="10" spans="2:17" ht="23.4" x14ac:dyDescent="0.6">
      <c r="B10" s="109">
        <v>2</v>
      </c>
      <c r="C10" s="54"/>
      <c r="D10" s="58"/>
      <c r="E10" s="54"/>
      <c r="F10" s="54"/>
      <c r="G10" s="71"/>
      <c r="H10" s="59"/>
      <c r="I10" s="445"/>
      <c r="J10" s="176"/>
      <c r="L10" t="s">
        <v>525</v>
      </c>
      <c r="M10" s="149">
        <v>0</v>
      </c>
      <c r="Q10" s="149"/>
    </row>
    <row r="11" spans="2:17" ht="23.4" x14ac:dyDescent="0.6">
      <c r="B11" s="108">
        <v>3</v>
      </c>
      <c r="C11" s="54"/>
      <c r="D11" s="58"/>
      <c r="E11" s="54"/>
      <c r="F11" s="54"/>
      <c r="G11" s="71"/>
      <c r="H11" s="59"/>
      <c r="I11" s="445"/>
      <c r="J11" s="176"/>
      <c r="M11" s="149"/>
      <c r="Q11" s="149"/>
    </row>
    <row r="12" spans="2:17" ht="23.4" x14ac:dyDescent="0.6">
      <c r="B12" s="109">
        <v>4</v>
      </c>
      <c r="C12" s="54"/>
      <c r="D12" s="58"/>
      <c r="E12" s="55"/>
      <c r="F12" s="54"/>
      <c r="G12" s="71"/>
      <c r="H12" s="59"/>
      <c r="I12" s="445"/>
      <c r="J12" s="176"/>
      <c r="M12" s="149"/>
      <c r="Q12" s="149"/>
    </row>
    <row r="13" spans="2:17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  <c r="M13" s="149"/>
      <c r="Q13" s="149"/>
    </row>
    <row r="14" spans="2:17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  <c r="M14" s="149"/>
      <c r="Q14" s="149"/>
    </row>
    <row r="15" spans="2:17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  <c r="M15" s="149"/>
      <c r="Q15" s="149"/>
    </row>
    <row r="16" spans="2:17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  <c r="M16" s="149"/>
      <c r="Q16" s="149"/>
    </row>
    <row r="17" spans="2:17" ht="25.2" customHeight="1" thickBot="1" x14ac:dyDescent="0.65">
      <c r="B17" s="109">
        <v>11</v>
      </c>
      <c r="C17" s="55"/>
      <c r="D17" s="447"/>
      <c r="E17" s="448"/>
      <c r="F17" s="55"/>
      <c r="G17" s="71"/>
      <c r="H17" s="59"/>
      <c r="I17" s="445"/>
      <c r="J17" s="175"/>
      <c r="M17" s="514">
        <f>SUM(M7:M16)</f>
        <v>61054.2</v>
      </c>
      <c r="Q17" s="514">
        <f>SUM(Q7:Q16)</f>
        <v>30000</v>
      </c>
    </row>
    <row r="18" spans="2:17" ht="25.2" customHeight="1" thickTop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  <c r="M18" s="149"/>
    </row>
    <row r="19" spans="2:17" ht="25.2" customHeight="1" x14ac:dyDescent="0.6">
      <c r="B19" s="108">
        <v>13</v>
      </c>
      <c r="C19" s="55"/>
      <c r="D19" s="447"/>
      <c r="E19" s="448"/>
      <c r="F19" s="55"/>
      <c r="G19" s="71"/>
      <c r="H19" s="59"/>
      <c r="I19" s="445"/>
      <c r="J19" s="175"/>
      <c r="M19" s="149"/>
    </row>
    <row r="20" spans="2:17" ht="25.2" customHeight="1" x14ac:dyDescent="0.6">
      <c r="B20" s="109">
        <v>14</v>
      </c>
      <c r="C20" s="55"/>
      <c r="D20" s="447"/>
      <c r="E20" s="448"/>
      <c r="F20" s="55"/>
      <c r="G20" s="71"/>
      <c r="H20" s="59"/>
      <c r="I20" s="445"/>
      <c r="J20" s="175"/>
    </row>
    <row r="21" spans="2:17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7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7" ht="25.2" customHeight="1" x14ac:dyDescent="0.6">
      <c r="B23" s="109">
        <v>99</v>
      </c>
      <c r="C23" s="55"/>
      <c r="D23" s="58"/>
      <c r="E23" s="54"/>
      <c r="F23" s="55"/>
      <c r="G23" s="71"/>
      <c r="H23" s="59"/>
      <c r="I23" s="445"/>
      <c r="J23" s="175"/>
    </row>
    <row r="24" spans="2:17" ht="25.2" customHeight="1" x14ac:dyDescent="0.6">
      <c r="B24" s="108">
        <v>99</v>
      </c>
      <c r="C24" s="55"/>
      <c r="D24" s="58"/>
      <c r="E24" s="54"/>
      <c r="F24" s="54"/>
      <c r="G24" s="71"/>
      <c r="H24" s="59"/>
      <c r="I24" s="445"/>
      <c r="J24" s="176"/>
    </row>
    <row r="25" spans="2:17" ht="25.2" customHeight="1" x14ac:dyDescent="0.6">
      <c r="B25" s="108">
        <v>99</v>
      </c>
      <c r="C25" s="55"/>
      <c r="D25" s="58"/>
      <c r="E25" s="54"/>
      <c r="F25" s="54"/>
      <c r="G25" s="71"/>
      <c r="H25" s="59"/>
      <c r="I25" s="445"/>
      <c r="J25" s="175"/>
    </row>
    <row r="26" spans="2:17" ht="25.2" customHeight="1" x14ac:dyDescent="0.6">
      <c r="B26" s="108">
        <v>99</v>
      </c>
      <c r="C26" s="55"/>
      <c r="D26" s="58"/>
      <c r="E26" s="54"/>
      <c r="F26" s="54"/>
      <c r="G26" s="71"/>
      <c r="H26" s="59"/>
      <c r="I26" s="445"/>
      <c r="J26" s="175"/>
    </row>
    <row r="27" spans="2:17" ht="18" x14ac:dyDescent="0.45">
      <c r="B27" s="7"/>
      <c r="C27" s="12"/>
      <c r="D27" s="9"/>
      <c r="E27" s="9"/>
      <c r="F27" s="32" t="s">
        <v>18</v>
      </c>
      <c r="G27" s="33">
        <f>SUM(G9:G26)</f>
        <v>280000</v>
      </c>
      <c r="H27" s="12"/>
      <c r="I27" s="7"/>
    </row>
    <row r="28" spans="2:17" ht="18" x14ac:dyDescent="0.45">
      <c r="B28" s="7"/>
      <c r="C28" s="12"/>
      <c r="D28" s="9"/>
      <c r="E28" s="9"/>
      <c r="F28" s="34" t="s">
        <v>19</v>
      </c>
      <c r="G28" s="35">
        <f>$C$6-G27</f>
        <v>0</v>
      </c>
      <c r="H28" s="12"/>
      <c r="I28" s="7"/>
    </row>
    <row r="29" spans="2:17" ht="18" x14ac:dyDescent="0.45">
      <c r="B29" s="7"/>
      <c r="C29" s="12"/>
      <c r="D29" s="9"/>
      <c r="E29" s="9"/>
      <c r="F29" s="12"/>
      <c r="G29" s="12"/>
      <c r="H29" s="12"/>
      <c r="I29" s="7"/>
    </row>
    <row r="30" spans="2:17" ht="18" x14ac:dyDescent="0.45">
      <c r="B30" s="7"/>
      <c r="C30" s="12"/>
      <c r="D30" s="9"/>
      <c r="E30" s="9"/>
      <c r="F30" s="36" t="s">
        <v>20</v>
      </c>
      <c r="G30" s="37">
        <f>G28/C6</f>
        <v>0</v>
      </c>
      <c r="H30" s="38"/>
      <c r="I30" s="7"/>
    </row>
    <row r="31" spans="2:17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7" ht="26.4" x14ac:dyDescent="0.55000000000000004">
      <c r="B32" s="143" t="s">
        <v>79</v>
      </c>
      <c r="C32" s="144" t="str">
        <f>'All Job balance report'!B21</f>
        <v>TMD-2601/005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'All Job balance report'!G24</f>
        <v>339693.72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0</v>
      </c>
      <c r="G36" s="94">
        <f>SUMIF($D$9:$D$26,$C$36,$G$9:$G$26)</f>
        <v>0</v>
      </c>
      <c r="H36" s="96">
        <f>F36-G36</f>
        <v>0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v>280000</v>
      </c>
      <c r="G37" s="94">
        <f>SUMIF($D$9:$D$26,$C$37,$G$9:$G$26)</f>
        <v>280000</v>
      </c>
      <c r="H37" s="96">
        <f t="shared" ref="H37:H44" si="0">F37-G37</f>
        <v>0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0</v>
      </c>
      <c r="G40" s="94">
        <f>SUMIF($D$9:$D$26,$C$40,$G$9:$G$26)</f>
        <v>0</v>
      </c>
      <c r="H40" s="96">
        <f t="shared" si="0"/>
        <v>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280000</v>
      </c>
      <c r="G45" s="92">
        <f>SUM(G36:G44)</f>
        <v>280000</v>
      </c>
      <c r="H45" s="97">
        <f>SUM(H36:H44)</f>
        <v>0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0.17572806468132521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59693.719999999972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59693.719999999972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14923.429999999993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38" priority="1" operator="lessThan">
      <formula>0</formula>
    </cfRule>
    <cfRule type="cellIs" dxfId="37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1162-9F6E-43FC-B9F3-CB5A508F51A0}">
  <sheetPr>
    <pageSetUpPr fitToPage="1"/>
  </sheetPr>
  <dimension ref="B1:Q55"/>
  <sheetViews>
    <sheetView zoomScale="55" zoomScaleNormal="55" workbookViewId="0">
      <selection activeCell="L18" sqref="L18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2" max="12" width="24.3984375" customWidth="1"/>
    <col min="13" max="13" width="12.296875" customWidth="1"/>
    <col min="17" max="17" width="11.19921875" customWidth="1"/>
  </cols>
  <sheetData>
    <row r="1" spans="2:17" ht="22.2" x14ac:dyDescent="0.35">
      <c r="B1" s="14" t="s">
        <v>0</v>
      </c>
      <c r="C1" s="2" t="str">
        <f>'All Job balance report'!D21</f>
        <v>Thai Meidensha Co., Ltd.</v>
      </c>
      <c r="D1" s="2"/>
      <c r="E1" s="2"/>
      <c r="F1" s="3"/>
      <c r="G1" s="3"/>
      <c r="H1" s="146" t="s">
        <v>1</v>
      </c>
      <c r="I1" s="147">
        <v>46113</v>
      </c>
    </row>
    <row r="2" spans="2:17" ht="22.2" x14ac:dyDescent="0.55000000000000004">
      <c r="B2" s="4" t="s">
        <v>2</v>
      </c>
      <c r="C2" s="5" t="str">
        <f>'All Job balance report'!F21</f>
        <v>งานติดตั้งท่อลากสายแอร์ OCC</v>
      </c>
      <c r="D2" s="5"/>
      <c r="E2" s="5"/>
      <c r="F2" s="3"/>
      <c r="G2" s="3"/>
      <c r="H2" s="146" t="s">
        <v>3</v>
      </c>
      <c r="I2" s="148"/>
    </row>
    <row r="3" spans="2:17" ht="22.2" x14ac:dyDescent="0.55000000000000004">
      <c r="B3" s="4" t="s">
        <v>74</v>
      </c>
      <c r="C3" s="145" t="str">
        <f>'All Job balance report'!B21</f>
        <v>TMD-2601/005</v>
      </c>
      <c r="D3" s="6"/>
      <c r="E3" s="6"/>
      <c r="F3" s="7"/>
      <c r="G3" s="7"/>
      <c r="H3" s="7"/>
      <c r="I3" s="7"/>
      <c r="M3" t="s">
        <v>84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7" ht="22.2" x14ac:dyDescent="0.55000000000000004">
      <c r="B5" s="4" t="s">
        <v>7</v>
      </c>
      <c r="C5" s="11">
        <f>C33</f>
        <v>18000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F45</f>
        <v>10000</v>
      </c>
      <c r="D6" s="12"/>
      <c r="E6" s="13"/>
      <c r="F6" s="10"/>
      <c r="G6" s="3"/>
      <c r="H6" s="7"/>
      <c r="I6" s="7"/>
      <c r="M6" t="s">
        <v>7</v>
      </c>
      <c r="P6" t="s">
        <v>536</v>
      </c>
      <c r="Q6" t="s">
        <v>123</v>
      </c>
    </row>
    <row r="7" spans="2:17" ht="22.2" x14ac:dyDescent="0.55000000000000004">
      <c r="B7" s="15" t="s">
        <v>9</v>
      </c>
      <c r="C7" s="16">
        <f>(C5-C6)/C5</f>
        <v>0.44444444444444442</v>
      </c>
      <c r="D7" s="15" t="s">
        <v>10</v>
      </c>
      <c r="E7" s="17">
        <v>1</v>
      </c>
      <c r="F7" s="18"/>
      <c r="G7" s="18"/>
      <c r="H7" s="18"/>
      <c r="I7" s="18"/>
      <c r="L7" t="s">
        <v>522</v>
      </c>
      <c r="M7" s="149">
        <v>21753.1</v>
      </c>
      <c r="O7" t="s">
        <v>535</v>
      </c>
      <c r="P7">
        <v>30</v>
      </c>
      <c r="Q7" s="149">
        <v>14000</v>
      </c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L8" t="s">
        <v>523</v>
      </c>
      <c r="M8" s="149">
        <v>39301.1</v>
      </c>
      <c r="O8" t="s">
        <v>537</v>
      </c>
      <c r="P8">
        <v>25</v>
      </c>
      <c r="Q8" s="149">
        <f>400*P8</f>
        <v>10000</v>
      </c>
    </row>
    <row r="9" spans="2:17" ht="23.4" x14ac:dyDescent="0.6">
      <c r="B9" s="108">
        <v>1</v>
      </c>
      <c r="C9" s="54" t="s">
        <v>624</v>
      </c>
      <c r="D9" s="58">
        <v>50</v>
      </c>
      <c r="E9" s="54" t="s">
        <v>275</v>
      </c>
      <c r="F9" s="54"/>
      <c r="G9" s="71">
        <v>0</v>
      </c>
      <c r="H9" s="59" t="s">
        <v>17</v>
      </c>
      <c r="I9" s="445">
        <v>46148</v>
      </c>
      <c r="J9" s="176"/>
      <c r="L9" t="s">
        <v>524</v>
      </c>
      <c r="M9" s="149">
        <v>0</v>
      </c>
      <c r="O9" t="s">
        <v>538</v>
      </c>
      <c r="P9">
        <v>6</v>
      </c>
      <c r="Q9" s="149">
        <v>6000</v>
      </c>
    </row>
    <row r="10" spans="2:17" ht="23.4" x14ac:dyDescent="0.6">
      <c r="B10" s="109">
        <v>2</v>
      </c>
      <c r="C10" s="54"/>
      <c r="D10" s="58"/>
      <c r="E10" s="54"/>
      <c r="F10" s="54"/>
      <c r="G10" s="71"/>
      <c r="H10" s="59"/>
      <c r="I10" s="445"/>
      <c r="J10" s="176"/>
      <c r="L10" t="s">
        <v>525</v>
      </c>
      <c r="M10" s="149">
        <v>0</v>
      </c>
      <c r="Q10" s="149"/>
    </row>
    <row r="11" spans="2:17" ht="23.4" x14ac:dyDescent="0.6">
      <c r="B11" s="108">
        <v>3</v>
      </c>
      <c r="C11" s="54"/>
      <c r="D11" s="58"/>
      <c r="E11" s="54"/>
      <c r="F11" s="54"/>
      <c r="G11" s="71"/>
      <c r="H11" s="59"/>
      <c r="I11" s="445"/>
      <c r="J11" s="176"/>
      <c r="M11" s="149"/>
      <c r="Q11" s="149"/>
    </row>
    <row r="12" spans="2:17" ht="23.4" x14ac:dyDescent="0.6">
      <c r="B12" s="109">
        <v>4</v>
      </c>
      <c r="C12" s="54"/>
      <c r="D12" s="58"/>
      <c r="E12" s="55"/>
      <c r="F12" s="54"/>
      <c r="G12" s="71"/>
      <c r="H12" s="59"/>
      <c r="I12" s="445"/>
      <c r="J12" s="176"/>
      <c r="M12" s="149"/>
      <c r="Q12" s="149"/>
    </row>
    <row r="13" spans="2:17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  <c r="M13" s="149"/>
      <c r="Q13" s="149"/>
    </row>
    <row r="14" spans="2:17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  <c r="M14" s="149"/>
      <c r="Q14" s="149"/>
    </row>
    <row r="15" spans="2:17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  <c r="M15" s="149"/>
      <c r="Q15" s="149"/>
    </row>
    <row r="16" spans="2:17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  <c r="M16" s="149"/>
      <c r="Q16" s="149"/>
    </row>
    <row r="17" spans="2:17" ht="25.2" customHeight="1" thickBot="1" x14ac:dyDescent="0.65">
      <c r="B17" s="109">
        <v>11</v>
      </c>
      <c r="C17" s="55"/>
      <c r="D17" s="447"/>
      <c r="E17" s="448"/>
      <c r="F17" s="55"/>
      <c r="G17" s="71"/>
      <c r="H17" s="59"/>
      <c r="I17" s="445"/>
      <c r="J17" s="175"/>
      <c r="M17" s="514">
        <f>SUM(M7:M16)</f>
        <v>61054.2</v>
      </c>
      <c r="Q17" s="514">
        <f>SUM(Q7:Q16)</f>
        <v>30000</v>
      </c>
    </row>
    <row r="18" spans="2:17" ht="25.2" customHeight="1" thickTop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  <c r="M18" s="149"/>
    </row>
    <row r="19" spans="2:17" ht="25.2" customHeight="1" x14ac:dyDescent="0.6">
      <c r="B19" s="108">
        <v>13</v>
      </c>
      <c r="C19" s="55"/>
      <c r="D19" s="447"/>
      <c r="E19" s="448"/>
      <c r="F19" s="55"/>
      <c r="G19" s="71"/>
      <c r="H19" s="59"/>
      <c r="I19" s="445"/>
      <c r="J19" s="175"/>
      <c r="M19" s="149"/>
    </row>
    <row r="20" spans="2:17" ht="25.2" customHeight="1" x14ac:dyDescent="0.6">
      <c r="B20" s="109">
        <v>14</v>
      </c>
      <c r="C20" s="55"/>
      <c r="D20" s="447"/>
      <c r="E20" s="448"/>
      <c r="F20" s="55"/>
      <c r="G20" s="71"/>
      <c r="H20" s="59"/>
      <c r="I20" s="445"/>
      <c r="J20" s="175"/>
    </row>
    <row r="21" spans="2:17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7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7" ht="25.2" customHeight="1" x14ac:dyDescent="0.6">
      <c r="B23" s="109">
        <v>99</v>
      </c>
      <c r="C23" s="55"/>
      <c r="D23" s="58"/>
      <c r="E23" s="54"/>
      <c r="F23" s="55"/>
      <c r="G23" s="71"/>
      <c r="H23" s="59"/>
      <c r="I23" s="445"/>
      <c r="J23" s="175"/>
    </row>
    <row r="24" spans="2:17" ht="25.2" customHeight="1" x14ac:dyDescent="0.6">
      <c r="B24" s="108">
        <v>99</v>
      </c>
      <c r="C24" s="55"/>
      <c r="D24" s="58"/>
      <c r="E24" s="54"/>
      <c r="F24" s="54"/>
      <c r="G24" s="71"/>
      <c r="H24" s="59"/>
      <c r="I24" s="445"/>
      <c r="J24" s="176"/>
    </row>
    <row r="25" spans="2:17" ht="25.2" customHeight="1" x14ac:dyDescent="0.6">
      <c r="B25" s="108">
        <v>99</v>
      </c>
      <c r="C25" s="55"/>
      <c r="D25" s="58"/>
      <c r="E25" s="54"/>
      <c r="F25" s="54"/>
      <c r="G25" s="71"/>
      <c r="H25" s="59"/>
      <c r="I25" s="445"/>
      <c r="J25" s="175"/>
    </row>
    <row r="26" spans="2:17" ht="25.2" customHeight="1" x14ac:dyDescent="0.6">
      <c r="B26" s="108">
        <v>99</v>
      </c>
      <c r="C26" s="55"/>
      <c r="D26" s="58"/>
      <c r="E26" s="54"/>
      <c r="F26" s="54"/>
      <c r="G26" s="71"/>
      <c r="H26" s="59"/>
      <c r="I26" s="445"/>
      <c r="J26" s="175"/>
    </row>
    <row r="27" spans="2:17" ht="18" x14ac:dyDescent="0.45">
      <c r="B27" s="7"/>
      <c r="C27" s="12"/>
      <c r="D27" s="9"/>
      <c r="E27" s="9"/>
      <c r="F27" s="32" t="s">
        <v>18</v>
      </c>
      <c r="G27" s="33">
        <f>SUM(G9:G26)</f>
        <v>0</v>
      </c>
      <c r="H27" s="12"/>
      <c r="I27" s="7"/>
    </row>
    <row r="28" spans="2:17" ht="18" x14ac:dyDescent="0.45">
      <c r="B28" s="7"/>
      <c r="C28" s="12"/>
      <c r="D28" s="9"/>
      <c r="E28" s="9"/>
      <c r="F28" s="34" t="s">
        <v>19</v>
      </c>
      <c r="G28" s="35">
        <f>$C$6-G27</f>
        <v>10000</v>
      </c>
      <c r="H28" s="12"/>
      <c r="I28" s="7"/>
    </row>
    <row r="29" spans="2:17" ht="18" x14ac:dyDescent="0.45">
      <c r="B29" s="7"/>
      <c r="C29" s="12"/>
      <c r="D29" s="9"/>
      <c r="E29" s="9"/>
      <c r="F29" s="12"/>
      <c r="G29" s="12"/>
      <c r="H29" s="12"/>
      <c r="I29" s="7"/>
    </row>
    <row r="30" spans="2:17" ht="18" x14ac:dyDescent="0.45">
      <c r="B30" s="7"/>
      <c r="C30" s="12"/>
      <c r="D30" s="9"/>
      <c r="E30" s="9"/>
      <c r="F30" s="36" t="s">
        <v>20</v>
      </c>
      <c r="G30" s="37">
        <f>G28/C6</f>
        <v>1</v>
      </c>
      <c r="H30" s="38"/>
      <c r="I30" s="7"/>
    </row>
    <row r="31" spans="2:17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7" ht="26.4" x14ac:dyDescent="0.55000000000000004">
      <c r="B32" s="143" t="s">
        <v>79</v>
      </c>
      <c r="C32" s="144" t="str">
        <f>'All Job balance report'!B21</f>
        <v>TMD-2601/005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'All Job balance report'!G21</f>
        <v>18000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0</v>
      </c>
      <c r="G36" s="94">
        <f>SUMIF($D$9:$D$26,$C$36,$G$9:$G$26)</f>
        <v>0</v>
      </c>
      <c r="H36" s="96">
        <f>F36-G36</f>
        <v>0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v>0</v>
      </c>
      <c r="G37" s="94">
        <f>SUMIF($D$9:$D$26,$C$37,$G$9:$G$26)</f>
        <v>0</v>
      </c>
      <c r="H37" s="96">
        <f t="shared" ref="H37:H44" si="0">F37-G37</f>
        <v>0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10000</v>
      </c>
      <c r="G40" s="94">
        <f>SUMIF($D$9:$D$26,$C$40,$G$9:$G$26)</f>
        <v>0</v>
      </c>
      <c r="H40" s="96">
        <f t="shared" si="0"/>
        <v>10000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10000</v>
      </c>
      <c r="G45" s="92">
        <f>SUM(G36:G44)</f>
        <v>0</v>
      </c>
      <c r="H45" s="97">
        <f>SUM(H36:H44)</f>
        <v>10000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0.44444444444444442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8000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18000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4500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36" priority="1" operator="lessThan">
      <formula>0</formula>
    </cfRule>
    <cfRule type="cellIs" dxfId="35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744F-EB92-4A76-9F73-A194EBC24783}">
  <sheetPr>
    <pageSetUpPr fitToPage="1"/>
  </sheetPr>
  <dimension ref="B1:Q55"/>
  <sheetViews>
    <sheetView zoomScale="55" zoomScaleNormal="55" workbookViewId="0">
      <selection activeCell="H36" sqref="H36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2" max="12" width="24.3984375" customWidth="1"/>
    <col min="13" max="13" width="12.296875" customWidth="1"/>
    <col min="17" max="17" width="11.19921875" customWidth="1"/>
  </cols>
  <sheetData>
    <row r="1" spans="2:17" ht="22.2" x14ac:dyDescent="0.35">
      <c r="B1" s="14" t="s">
        <v>0</v>
      </c>
      <c r="C1" s="2" t="str">
        <f>'All Job balance report'!D20</f>
        <v>Thai Meidensha Co., Ltd.</v>
      </c>
      <c r="D1" s="2"/>
      <c r="E1" s="2"/>
      <c r="F1" s="3"/>
      <c r="G1" s="3"/>
      <c r="H1" s="146" t="s">
        <v>1</v>
      </c>
      <c r="I1" s="147">
        <v>46113</v>
      </c>
    </row>
    <row r="2" spans="2:17" ht="22.2" x14ac:dyDescent="0.55000000000000004">
      <c r="B2" s="4" t="s">
        <v>2</v>
      </c>
      <c r="C2" s="5" t="str">
        <f>'All Job balance report'!F20</f>
        <v>งานติดตั้งท่อสำหรับ MWS 5 ห้อง</v>
      </c>
      <c r="D2" s="5"/>
      <c r="E2" s="5"/>
      <c r="F2" s="3"/>
      <c r="G2" s="3"/>
      <c r="H2" s="146" t="s">
        <v>3</v>
      </c>
      <c r="I2" s="148"/>
    </row>
    <row r="3" spans="2:17" ht="22.2" x14ac:dyDescent="0.55000000000000004">
      <c r="B3" s="4" t="s">
        <v>74</v>
      </c>
      <c r="C3" s="145" t="str">
        <f>'All Job balance report'!B20</f>
        <v>TMD-2601/004</v>
      </c>
      <c r="D3" s="6"/>
      <c r="E3" s="6"/>
      <c r="F3" s="7"/>
      <c r="G3" s="7"/>
      <c r="H3" s="7"/>
      <c r="I3" s="7"/>
      <c r="M3" t="s">
        <v>84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7" ht="22.2" x14ac:dyDescent="0.55000000000000004">
      <c r="B5" s="4" t="s">
        <v>7</v>
      </c>
      <c r="C5" s="11">
        <f>C33</f>
        <v>620000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F45</f>
        <v>550000</v>
      </c>
      <c r="D6" s="12"/>
      <c r="E6" s="13"/>
      <c r="F6" s="10"/>
      <c r="G6" s="3"/>
      <c r="H6" s="7"/>
      <c r="I6" s="7"/>
      <c r="M6" t="s">
        <v>7</v>
      </c>
      <c r="P6" t="s">
        <v>536</v>
      </c>
      <c r="Q6" t="s">
        <v>123</v>
      </c>
    </row>
    <row r="7" spans="2:17" ht="22.2" x14ac:dyDescent="0.55000000000000004">
      <c r="B7" s="15" t="s">
        <v>9</v>
      </c>
      <c r="C7" s="16">
        <f>(C5-C6)/C5</f>
        <v>0.11290322580645161</v>
      </c>
      <c r="D7" s="15" t="s">
        <v>10</v>
      </c>
      <c r="E7" s="17">
        <v>1</v>
      </c>
      <c r="F7" s="18"/>
      <c r="G7" s="18"/>
      <c r="H7" s="18"/>
      <c r="I7" s="18"/>
      <c r="L7" t="s">
        <v>522</v>
      </c>
      <c r="M7" s="149">
        <v>21753.1</v>
      </c>
      <c r="O7" t="s">
        <v>535</v>
      </c>
      <c r="P7">
        <v>30</v>
      </c>
      <c r="Q7" s="149">
        <v>14000</v>
      </c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L8" t="s">
        <v>523</v>
      </c>
      <c r="M8" s="149">
        <v>39301.1</v>
      </c>
      <c r="O8" t="s">
        <v>537</v>
      </c>
      <c r="P8">
        <v>25</v>
      </c>
      <c r="Q8" s="149">
        <f>400*P8</f>
        <v>10000</v>
      </c>
    </row>
    <row r="9" spans="2:17" ht="23.4" x14ac:dyDescent="0.6">
      <c r="B9" s="108">
        <v>1</v>
      </c>
      <c r="C9" s="54" t="s">
        <v>601</v>
      </c>
      <c r="D9" s="58">
        <v>10</v>
      </c>
      <c r="E9" s="54" t="s">
        <v>623</v>
      </c>
      <c r="F9" s="54"/>
      <c r="G9" s="71">
        <v>480000</v>
      </c>
      <c r="H9" s="59" t="s">
        <v>17</v>
      </c>
      <c r="I9" s="445">
        <v>46049</v>
      </c>
      <c r="J9" s="175"/>
      <c r="L9" t="s">
        <v>524</v>
      </c>
      <c r="M9" s="149">
        <v>0</v>
      </c>
      <c r="O9" t="s">
        <v>538</v>
      </c>
      <c r="P9">
        <v>6</v>
      </c>
      <c r="Q9" s="149">
        <v>6000</v>
      </c>
    </row>
    <row r="10" spans="2:17" ht="23.4" x14ac:dyDescent="0.6">
      <c r="B10" s="109">
        <v>2</v>
      </c>
      <c r="C10" s="54" t="s">
        <v>624</v>
      </c>
      <c r="D10" s="58">
        <v>50</v>
      </c>
      <c r="E10" s="54" t="s">
        <v>275</v>
      </c>
      <c r="F10" s="54"/>
      <c r="G10" s="71">
        <v>54535.42</v>
      </c>
      <c r="H10" s="59" t="s">
        <v>17</v>
      </c>
      <c r="I10" s="445">
        <v>46148</v>
      </c>
      <c r="J10" s="176"/>
      <c r="L10" t="s">
        <v>525</v>
      </c>
      <c r="M10" s="149">
        <v>0</v>
      </c>
      <c r="Q10" s="149"/>
    </row>
    <row r="11" spans="2:17" ht="23.4" x14ac:dyDescent="0.6">
      <c r="B11" s="108">
        <v>3</v>
      </c>
      <c r="C11" s="54" t="s">
        <v>629</v>
      </c>
      <c r="D11" s="58">
        <v>10</v>
      </c>
      <c r="E11" s="54" t="s">
        <v>630</v>
      </c>
      <c r="F11" s="54"/>
      <c r="G11" s="71">
        <v>5000</v>
      </c>
      <c r="H11" s="59" t="s">
        <v>631</v>
      </c>
      <c r="I11" s="445"/>
      <c r="J11" s="176"/>
      <c r="M11" s="149"/>
      <c r="Q11" s="149"/>
    </row>
    <row r="12" spans="2:17" ht="23.4" x14ac:dyDescent="0.6">
      <c r="B12" s="109">
        <v>4</v>
      </c>
      <c r="C12" s="54"/>
      <c r="D12" s="58"/>
      <c r="E12" s="55"/>
      <c r="F12" s="54"/>
      <c r="G12" s="71"/>
      <c r="H12" s="59"/>
      <c r="I12" s="445"/>
      <c r="J12" s="176"/>
      <c r="M12" s="149"/>
      <c r="Q12" s="149"/>
    </row>
    <row r="13" spans="2:17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  <c r="M13" s="149"/>
      <c r="Q13" s="149"/>
    </row>
    <row r="14" spans="2:17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  <c r="M14" s="149"/>
      <c r="Q14" s="149"/>
    </row>
    <row r="15" spans="2:17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  <c r="M15" s="149"/>
      <c r="Q15" s="149"/>
    </row>
    <row r="16" spans="2:17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  <c r="M16" s="149"/>
      <c r="Q16" s="149"/>
    </row>
    <row r="17" spans="2:17" ht="25.2" customHeight="1" thickBot="1" x14ac:dyDescent="0.65">
      <c r="B17" s="109">
        <v>11</v>
      </c>
      <c r="C17" s="55"/>
      <c r="D17" s="447"/>
      <c r="E17" s="448"/>
      <c r="F17" s="55"/>
      <c r="G17" s="71"/>
      <c r="H17" s="59"/>
      <c r="I17" s="445"/>
      <c r="J17" s="175"/>
      <c r="M17" s="514">
        <f>SUM(M7:M16)</f>
        <v>61054.2</v>
      </c>
      <c r="Q17" s="514">
        <f>SUM(Q7:Q16)</f>
        <v>30000</v>
      </c>
    </row>
    <row r="18" spans="2:17" ht="25.2" customHeight="1" thickTop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  <c r="M18" s="149"/>
    </row>
    <row r="19" spans="2:17" ht="25.2" customHeight="1" x14ac:dyDescent="0.6">
      <c r="B19" s="108">
        <v>13</v>
      </c>
      <c r="C19" s="55"/>
      <c r="D19" s="447"/>
      <c r="E19" s="448"/>
      <c r="F19" s="55"/>
      <c r="G19" s="71"/>
      <c r="H19" s="59"/>
      <c r="I19" s="445"/>
      <c r="J19" s="175"/>
      <c r="M19" s="149"/>
    </row>
    <row r="20" spans="2:17" ht="25.2" customHeight="1" x14ac:dyDescent="0.6">
      <c r="B20" s="109">
        <v>14</v>
      </c>
      <c r="C20" s="55"/>
      <c r="D20" s="447"/>
      <c r="E20" s="448"/>
      <c r="F20" s="55"/>
      <c r="G20" s="71"/>
      <c r="H20" s="59"/>
      <c r="I20" s="445"/>
      <c r="J20" s="175"/>
    </row>
    <row r="21" spans="2:17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7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7" ht="25.2" customHeight="1" x14ac:dyDescent="0.6">
      <c r="B23" s="109">
        <v>99</v>
      </c>
      <c r="C23" s="55"/>
      <c r="D23" s="58"/>
      <c r="E23" s="54"/>
      <c r="F23" s="55"/>
      <c r="G23" s="71"/>
      <c r="H23" s="59"/>
      <c r="I23" s="445"/>
      <c r="J23" s="175"/>
    </row>
    <row r="24" spans="2:17" ht="25.2" customHeight="1" x14ac:dyDescent="0.6">
      <c r="B24" s="108">
        <v>99</v>
      </c>
      <c r="C24" s="55"/>
      <c r="D24" s="58"/>
      <c r="E24" s="54"/>
      <c r="F24" s="54"/>
      <c r="G24" s="71"/>
      <c r="H24" s="59"/>
      <c r="I24" s="445"/>
      <c r="J24" s="176"/>
    </row>
    <row r="25" spans="2:17" ht="25.2" customHeight="1" x14ac:dyDescent="0.6">
      <c r="B25" s="108">
        <v>99</v>
      </c>
      <c r="C25" s="55"/>
      <c r="D25" s="58"/>
      <c r="E25" s="54"/>
      <c r="F25" s="54"/>
      <c r="G25" s="71"/>
      <c r="H25" s="59"/>
      <c r="I25" s="445"/>
      <c r="J25" s="175"/>
    </row>
    <row r="26" spans="2:17" ht="25.2" customHeight="1" x14ac:dyDescent="0.6">
      <c r="B26" s="108">
        <v>99</v>
      </c>
      <c r="C26" s="55"/>
      <c r="D26" s="58"/>
      <c r="E26" s="54"/>
      <c r="F26" s="54"/>
      <c r="G26" s="71"/>
      <c r="H26" s="59"/>
      <c r="I26" s="445"/>
      <c r="J26" s="175"/>
    </row>
    <row r="27" spans="2:17" ht="18" x14ac:dyDescent="0.45">
      <c r="B27" s="7"/>
      <c r="C27" s="12"/>
      <c r="D27" s="9"/>
      <c r="E27" s="9"/>
      <c r="F27" s="32" t="s">
        <v>18</v>
      </c>
      <c r="G27" s="33">
        <f>SUM(G9:G26)</f>
        <v>539535.42000000004</v>
      </c>
      <c r="H27" s="12"/>
      <c r="I27" s="7"/>
    </row>
    <row r="28" spans="2:17" ht="18" x14ac:dyDescent="0.45">
      <c r="B28" s="7"/>
      <c r="C28" s="12"/>
      <c r="D28" s="9"/>
      <c r="E28" s="9"/>
      <c r="F28" s="34" t="s">
        <v>19</v>
      </c>
      <c r="G28" s="35">
        <f>$C$6-G27</f>
        <v>10464.579999999958</v>
      </c>
      <c r="H28" s="12"/>
      <c r="I28" s="7"/>
    </row>
    <row r="29" spans="2:17" ht="18" x14ac:dyDescent="0.45">
      <c r="B29" s="7"/>
      <c r="C29" s="12"/>
      <c r="D29" s="9"/>
      <c r="E29" s="9"/>
      <c r="F29" s="12"/>
      <c r="G29" s="12"/>
      <c r="H29" s="12"/>
      <c r="I29" s="7"/>
    </row>
    <row r="30" spans="2:17" ht="18" x14ac:dyDescent="0.45">
      <c r="B30" s="7"/>
      <c r="C30" s="12"/>
      <c r="D30" s="9"/>
      <c r="E30" s="9"/>
      <c r="F30" s="36" t="s">
        <v>20</v>
      </c>
      <c r="G30" s="37">
        <f>G28/C6</f>
        <v>1.9026509090909013E-2</v>
      </c>
      <c r="H30" s="38"/>
      <c r="I30" s="7"/>
    </row>
    <row r="31" spans="2:17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7" ht="26.4" x14ac:dyDescent="0.55000000000000004">
      <c r="B32" s="143" t="s">
        <v>79</v>
      </c>
      <c r="C32" s="144" t="str">
        <f>'All Job balance report'!B17</f>
        <v>TMD-2601/003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'All Job balance report'!G20</f>
        <v>620000</v>
      </c>
      <c r="D33" s="15">
        <v>0</v>
      </c>
      <c r="E33" s="17"/>
      <c r="F33" s="505" t="s">
        <v>632</v>
      </c>
      <c r="G33" s="18" t="s">
        <v>633</v>
      </c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10000</v>
      </c>
      <c r="G36" s="94">
        <f>SUMIF($D$9:$D$26,$C$36,$G$9:$G$26)</f>
        <v>485000</v>
      </c>
      <c r="H36" s="96">
        <f>F36-G36</f>
        <v>-475000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v>480000</v>
      </c>
      <c r="G37" s="94">
        <f>SUMIF($D$9:$D$26,$C$37,$G$9:$G$26)</f>
        <v>0</v>
      </c>
      <c r="H37" s="96">
        <f t="shared" ref="H37:H44" si="0">F37-G37</f>
        <v>480000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60000</v>
      </c>
      <c r="G40" s="94">
        <f>SUMIF($D$9:$D$26,$C$40,$G$9:$G$26)</f>
        <v>54535.42</v>
      </c>
      <c r="H40" s="96">
        <f t="shared" si="0"/>
        <v>5464.5800000000017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550000</v>
      </c>
      <c r="G45" s="92">
        <f>SUM(G36:G44)</f>
        <v>539535.42000000004</v>
      </c>
      <c r="H45" s="97">
        <f>SUM(H36:H44)</f>
        <v>10464.580000000002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0.11290322580645161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70000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80464.579999999958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20116.14499999999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34" priority="1" operator="lessThan">
      <formula>0</formula>
    </cfRule>
    <cfRule type="cellIs" dxfId="33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65AF-3618-48E4-A48A-9B2C50DCDCF4}">
  <sheetPr>
    <pageSetUpPr fitToPage="1"/>
  </sheetPr>
  <dimension ref="B1:V57"/>
  <sheetViews>
    <sheetView topLeftCell="A25" zoomScale="55" zoomScaleNormal="55" workbookViewId="0">
      <selection activeCell="E24" sqref="E24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2" max="12" width="24.3984375" customWidth="1"/>
    <col min="13" max="13" width="12.296875" customWidth="1"/>
    <col min="17" max="17" width="11.19921875" customWidth="1"/>
    <col min="19" max="19" width="10.796875" customWidth="1"/>
    <col min="22" max="22" width="11.296875" customWidth="1"/>
  </cols>
  <sheetData>
    <row r="1" spans="2:22" ht="22.2" x14ac:dyDescent="0.35">
      <c r="B1" s="14" t="s">
        <v>0</v>
      </c>
      <c r="C1" s="2" t="str">
        <f>'All Job balance report'!D23</f>
        <v>ร้าน Over Wash</v>
      </c>
      <c r="D1" s="2"/>
      <c r="E1" s="2"/>
      <c r="F1" s="3"/>
      <c r="G1" s="3"/>
      <c r="H1" s="146" t="s">
        <v>1</v>
      </c>
      <c r="I1" s="147">
        <v>45934</v>
      </c>
    </row>
    <row r="2" spans="2:22" ht="22.2" x14ac:dyDescent="0.55000000000000004">
      <c r="B2" s="4" t="s">
        <v>2</v>
      </c>
      <c r="C2" s="5" t="str">
        <f>'All Job balance report'!F23</f>
        <v>Solar cell 17.9kWp.</v>
      </c>
      <c r="D2" s="5"/>
      <c r="E2" s="5"/>
      <c r="F2" s="3"/>
      <c r="G2" s="3"/>
      <c r="H2" s="146" t="s">
        <v>3</v>
      </c>
      <c r="I2" s="148"/>
    </row>
    <row r="3" spans="2:22" ht="22.2" x14ac:dyDescent="0.55000000000000004">
      <c r="B3" s="4" t="s">
        <v>74</v>
      </c>
      <c r="C3" s="145" t="str">
        <f>'All Job balance report'!B23</f>
        <v>SOL-2604/02</v>
      </c>
      <c r="D3" s="6"/>
      <c r="E3" s="6"/>
      <c r="F3" s="7"/>
      <c r="G3" s="7"/>
      <c r="H3" s="7"/>
      <c r="I3" s="7"/>
      <c r="M3" t="s">
        <v>84</v>
      </c>
    </row>
    <row r="4" spans="2:22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22" ht="22.2" x14ac:dyDescent="0.55000000000000004">
      <c r="B5" s="4" t="s">
        <v>7</v>
      </c>
      <c r="C5" s="11">
        <f>C35</f>
        <v>235660</v>
      </c>
      <c r="D5" s="9"/>
      <c r="E5" s="556"/>
      <c r="F5" s="556"/>
      <c r="G5" s="3"/>
      <c r="H5" s="7"/>
      <c r="I5" s="7"/>
    </row>
    <row r="6" spans="2:22" ht="26.4" x14ac:dyDescent="0.55000000000000004">
      <c r="B6" s="4" t="s">
        <v>8</v>
      </c>
      <c r="C6" s="11">
        <f>F47</f>
        <v>215000</v>
      </c>
      <c r="D6" s="12"/>
      <c r="E6" s="13"/>
      <c r="F6" s="10"/>
      <c r="G6" s="3"/>
      <c r="H6" s="7"/>
      <c r="I6" s="7"/>
      <c r="M6" t="s">
        <v>7</v>
      </c>
      <c r="P6" t="s">
        <v>594</v>
      </c>
      <c r="Q6" t="s">
        <v>123</v>
      </c>
      <c r="U6" t="s">
        <v>596</v>
      </c>
      <c r="V6">
        <v>1.5</v>
      </c>
    </row>
    <row r="7" spans="2:22" ht="22.2" x14ac:dyDescent="0.55000000000000004">
      <c r="B7" s="15" t="s">
        <v>9</v>
      </c>
      <c r="C7" s="16">
        <f>(C5-C6)/C5</f>
        <v>8.7668675210048369E-2</v>
      </c>
      <c r="D7" s="15" t="s">
        <v>10</v>
      </c>
      <c r="E7" s="17">
        <v>1</v>
      </c>
      <c r="F7" s="18"/>
      <c r="G7" s="18"/>
      <c r="H7" s="18"/>
      <c r="I7" s="18"/>
      <c r="L7" t="s">
        <v>522</v>
      </c>
      <c r="M7" s="149">
        <v>21753.1</v>
      </c>
      <c r="O7" t="s">
        <v>535</v>
      </c>
      <c r="P7">
        <v>3</v>
      </c>
      <c r="Q7" s="149">
        <v>14000</v>
      </c>
      <c r="R7" s="151">
        <f>Q7/25</f>
        <v>560</v>
      </c>
      <c r="S7" s="151">
        <f>R7*P7</f>
        <v>1680</v>
      </c>
      <c r="T7" s="151">
        <f>R7/8</f>
        <v>70</v>
      </c>
      <c r="U7">
        <v>8</v>
      </c>
      <c r="V7" s="151">
        <f>T7*U7*$V$6</f>
        <v>840</v>
      </c>
    </row>
    <row r="8" spans="2:22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L8" t="s">
        <v>523</v>
      </c>
      <c r="M8" s="149">
        <v>39301.1</v>
      </c>
      <c r="O8" t="s">
        <v>537</v>
      </c>
      <c r="P8">
        <v>3</v>
      </c>
      <c r="Q8" s="149">
        <v>400</v>
      </c>
      <c r="R8" s="151">
        <f>Q8</f>
        <v>400</v>
      </c>
      <c r="S8" s="151">
        <f t="shared" ref="S8:S10" si="0">R8*P8</f>
        <v>1200</v>
      </c>
      <c r="T8" s="151">
        <f t="shared" ref="T8:T10" si="1">R8/8</f>
        <v>50</v>
      </c>
      <c r="U8">
        <v>8</v>
      </c>
      <c r="V8" s="151">
        <f>T8*U8*$V$6</f>
        <v>600</v>
      </c>
    </row>
    <row r="9" spans="2:22" ht="23.4" x14ac:dyDescent="0.6">
      <c r="B9" s="108">
        <v>1</v>
      </c>
      <c r="C9" s="54" t="s">
        <v>577</v>
      </c>
      <c r="D9" s="58">
        <v>10</v>
      </c>
      <c r="E9" s="54" t="s">
        <v>576</v>
      </c>
      <c r="F9" s="54"/>
      <c r="G9" s="71">
        <v>157888.07999999999</v>
      </c>
      <c r="H9" s="59" t="s">
        <v>17</v>
      </c>
      <c r="I9" s="445">
        <v>46122</v>
      </c>
      <c r="J9" s="175"/>
      <c r="L9" t="s">
        <v>524</v>
      </c>
      <c r="M9" s="149">
        <v>0</v>
      </c>
      <c r="O9" t="s">
        <v>538</v>
      </c>
      <c r="P9">
        <v>3</v>
      </c>
      <c r="Q9" s="149">
        <v>400</v>
      </c>
      <c r="R9" s="151">
        <f>Q9</f>
        <v>400</v>
      </c>
      <c r="S9" s="151">
        <f t="shared" si="0"/>
        <v>1200</v>
      </c>
      <c r="T9" s="151">
        <f t="shared" si="1"/>
        <v>50</v>
      </c>
      <c r="U9">
        <v>8</v>
      </c>
      <c r="V9" s="151">
        <f>T9*U9*$V$6</f>
        <v>600</v>
      </c>
    </row>
    <row r="10" spans="2:22" ht="23.4" x14ac:dyDescent="0.6">
      <c r="B10" s="109">
        <v>2</v>
      </c>
      <c r="C10" s="54" t="s">
        <v>577</v>
      </c>
      <c r="D10" s="58">
        <v>10</v>
      </c>
      <c r="E10" s="54" t="s">
        <v>578</v>
      </c>
      <c r="F10" s="54"/>
      <c r="G10" s="71">
        <v>1318.24</v>
      </c>
      <c r="H10" s="59" t="s">
        <v>17</v>
      </c>
      <c r="I10" s="445">
        <v>46122</v>
      </c>
      <c r="J10" s="176"/>
      <c r="L10" t="s">
        <v>525</v>
      </c>
      <c r="M10" s="149">
        <v>0</v>
      </c>
      <c r="O10" t="s">
        <v>595</v>
      </c>
      <c r="P10">
        <v>3</v>
      </c>
      <c r="Q10" s="149">
        <v>24000</v>
      </c>
      <c r="R10" s="151">
        <f>Q10/25</f>
        <v>960</v>
      </c>
      <c r="S10" s="151">
        <f t="shared" si="0"/>
        <v>2880</v>
      </c>
      <c r="T10" s="151">
        <f t="shared" si="1"/>
        <v>120</v>
      </c>
      <c r="U10">
        <v>8</v>
      </c>
      <c r="V10" s="151">
        <f>T10*U10*$V$6</f>
        <v>1440</v>
      </c>
    </row>
    <row r="11" spans="2:22" ht="23.4" x14ac:dyDescent="0.6">
      <c r="B11" s="108">
        <v>3</v>
      </c>
      <c r="C11" s="54" t="s">
        <v>577</v>
      </c>
      <c r="D11" s="58">
        <v>10</v>
      </c>
      <c r="E11" s="54" t="s">
        <v>578</v>
      </c>
      <c r="F11" s="54"/>
      <c r="G11" s="71">
        <v>809.78</v>
      </c>
      <c r="H11" s="59" t="s">
        <v>17</v>
      </c>
      <c r="I11" s="445">
        <v>46122</v>
      </c>
      <c r="J11" s="176"/>
      <c r="M11" s="149"/>
      <c r="Q11" s="149"/>
    </row>
    <row r="12" spans="2:22" ht="23.4" x14ac:dyDescent="0.6">
      <c r="B12" s="108">
        <v>4</v>
      </c>
      <c r="C12" s="54" t="s">
        <v>580</v>
      </c>
      <c r="D12" s="58">
        <v>10</v>
      </c>
      <c r="E12" s="55" t="s">
        <v>579</v>
      </c>
      <c r="F12" s="54"/>
      <c r="G12" s="71">
        <v>2407.6</v>
      </c>
      <c r="H12" s="59" t="s">
        <v>17</v>
      </c>
      <c r="I12" s="445">
        <v>46122</v>
      </c>
      <c r="J12" s="176"/>
      <c r="M12" s="149"/>
      <c r="Q12" s="149"/>
    </row>
    <row r="13" spans="2:22" ht="25.2" customHeight="1" x14ac:dyDescent="0.6">
      <c r="B13" s="109">
        <v>5</v>
      </c>
      <c r="C13" s="54" t="s">
        <v>581</v>
      </c>
      <c r="D13" s="58">
        <v>10</v>
      </c>
      <c r="E13" s="54" t="s">
        <v>582</v>
      </c>
      <c r="F13" s="54"/>
      <c r="G13" s="71">
        <v>18741</v>
      </c>
      <c r="H13" s="59" t="s">
        <v>17</v>
      </c>
      <c r="I13" s="445">
        <v>46122</v>
      </c>
      <c r="J13" s="175"/>
      <c r="M13" s="149"/>
      <c r="Q13" s="149"/>
    </row>
    <row r="14" spans="2:22" ht="25.2" customHeight="1" x14ac:dyDescent="0.6">
      <c r="B14" s="108">
        <v>6</v>
      </c>
      <c r="C14" s="55" t="s">
        <v>584</v>
      </c>
      <c r="D14" s="58">
        <v>10</v>
      </c>
      <c r="E14" s="55" t="s">
        <v>583</v>
      </c>
      <c r="F14" s="55"/>
      <c r="G14" s="71">
        <v>5300</v>
      </c>
      <c r="H14" s="59" t="s">
        <v>17</v>
      </c>
      <c r="I14" s="445">
        <v>46122</v>
      </c>
      <c r="J14" s="175"/>
      <c r="M14" s="149"/>
      <c r="Q14" s="149"/>
    </row>
    <row r="15" spans="2:22" ht="25.2" customHeight="1" x14ac:dyDescent="0.6">
      <c r="B15" s="108">
        <v>7</v>
      </c>
      <c r="C15" s="55"/>
      <c r="D15" s="58">
        <v>10</v>
      </c>
      <c r="E15" s="54" t="s">
        <v>585</v>
      </c>
      <c r="F15" s="55"/>
      <c r="G15" s="71">
        <v>1272</v>
      </c>
      <c r="H15" s="59" t="s">
        <v>587</v>
      </c>
      <c r="I15" s="445"/>
      <c r="J15" s="175"/>
      <c r="M15" s="149"/>
      <c r="Q15" s="149"/>
    </row>
    <row r="16" spans="2:22" ht="25.2" customHeight="1" x14ac:dyDescent="0.6">
      <c r="B16" s="109">
        <v>8</v>
      </c>
      <c r="C16" s="55" t="s">
        <v>459</v>
      </c>
      <c r="D16" s="447">
        <v>10</v>
      </c>
      <c r="E16" s="448" t="s">
        <v>586</v>
      </c>
      <c r="F16" s="55"/>
      <c r="G16" s="71">
        <v>5068</v>
      </c>
      <c r="H16" s="59" t="s">
        <v>587</v>
      </c>
      <c r="I16" s="445"/>
      <c r="J16" s="175"/>
      <c r="M16" s="149"/>
      <c r="Q16" s="149"/>
    </row>
    <row r="17" spans="2:22" ht="25.2" customHeight="1" thickBot="1" x14ac:dyDescent="0.65">
      <c r="B17" s="108">
        <v>9</v>
      </c>
      <c r="C17" s="55" t="s">
        <v>584</v>
      </c>
      <c r="D17" s="447">
        <v>10</v>
      </c>
      <c r="E17" s="448" t="s">
        <v>588</v>
      </c>
      <c r="F17" s="55"/>
      <c r="G17" s="71">
        <v>500</v>
      </c>
      <c r="H17" s="59" t="s">
        <v>587</v>
      </c>
      <c r="I17" s="445"/>
      <c r="J17" s="175"/>
      <c r="M17" s="514">
        <f>SUM(M7:M16)</f>
        <v>61054.2</v>
      </c>
      <c r="Q17" s="514"/>
      <c r="S17" s="514">
        <f>SUM(S7:S16)</f>
        <v>6960</v>
      </c>
      <c r="V17" s="514">
        <f>SUM(V7:V16)</f>
        <v>3480</v>
      </c>
    </row>
    <row r="18" spans="2:22" ht="25.2" customHeight="1" thickTop="1" x14ac:dyDescent="0.6">
      <c r="B18" s="108">
        <v>10</v>
      </c>
      <c r="C18" s="55" t="s">
        <v>589</v>
      </c>
      <c r="D18" s="447">
        <v>10</v>
      </c>
      <c r="E18" s="448" t="s">
        <v>590</v>
      </c>
      <c r="F18" s="55"/>
      <c r="G18" s="71">
        <v>1500</v>
      </c>
      <c r="H18" s="59" t="s">
        <v>587</v>
      </c>
      <c r="I18" s="445"/>
      <c r="J18" s="175"/>
      <c r="M18" s="149"/>
    </row>
    <row r="19" spans="2:22" ht="25.2" customHeight="1" x14ac:dyDescent="0.6">
      <c r="B19" s="109">
        <v>11</v>
      </c>
      <c r="C19" s="55" t="s">
        <v>592</v>
      </c>
      <c r="D19" s="447">
        <v>50</v>
      </c>
      <c r="E19" s="448" t="s">
        <v>591</v>
      </c>
      <c r="F19" s="55"/>
      <c r="G19" s="71">
        <v>2000</v>
      </c>
      <c r="H19" s="59" t="s">
        <v>587</v>
      </c>
      <c r="I19" s="445"/>
      <c r="J19" s="175"/>
      <c r="M19" s="149"/>
      <c r="S19" s="151">
        <f>S17+V17</f>
        <v>10440</v>
      </c>
    </row>
    <row r="20" spans="2:22" ht="25.2" customHeight="1" x14ac:dyDescent="0.6">
      <c r="B20" s="108">
        <v>12</v>
      </c>
      <c r="C20" s="55"/>
      <c r="D20" s="447">
        <v>50</v>
      </c>
      <c r="E20" s="448" t="s">
        <v>593</v>
      </c>
      <c r="F20" s="55"/>
      <c r="G20" s="71">
        <f>S19</f>
        <v>10440</v>
      </c>
      <c r="H20" s="59" t="s">
        <v>587</v>
      </c>
      <c r="I20" s="445"/>
      <c r="J20" s="175"/>
    </row>
    <row r="21" spans="2:22" ht="25.2" customHeight="1" x14ac:dyDescent="0.6">
      <c r="B21" s="108">
        <v>13</v>
      </c>
      <c r="C21" s="55"/>
      <c r="D21" s="447">
        <v>50</v>
      </c>
      <c r="E21" s="448" t="s">
        <v>364</v>
      </c>
      <c r="F21" s="55"/>
      <c r="G21" s="71">
        <v>2000</v>
      </c>
      <c r="H21" s="59"/>
      <c r="I21" s="445"/>
      <c r="J21" s="175"/>
    </row>
    <row r="22" spans="2:22" ht="25.2" customHeight="1" x14ac:dyDescent="0.6">
      <c r="B22" s="109">
        <v>14</v>
      </c>
      <c r="C22" s="55"/>
      <c r="D22" s="447">
        <v>50</v>
      </c>
      <c r="E22" s="448" t="s">
        <v>597</v>
      </c>
      <c r="F22" s="55"/>
      <c r="G22" s="71">
        <v>2000</v>
      </c>
      <c r="H22" s="59"/>
      <c r="I22" s="445"/>
      <c r="J22" s="175"/>
    </row>
    <row r="23" spans="2:22" ht="25.2" customHeight="1" x14ac:dyDescent="0.6">
      <c r="B23" s="108">
        <v>15</v>
      </c>
      <c r="C23" s="55"/>
      <c r="D23" s="58"/>
      <c r="E23" s="54"/>
      <c r="F23" s="55"/>
      <c r="G23" s="71"/>
      <c r="H23" s="59"/>
      <c r="I23" s="445"/>
      <c r="J23" s="175"/>
    </row>
    <row r="24" spans="2:22" ht="25.2" customHeight="1" x14ac:dyDescent="0.6">
      <c r="B24" s="108">
        <v>16</v>
      </c>
      <c r="C24" s="55"/>
      <c r="D24" s="58"/>
      <c r="E24" s="54"/>
      <c r="F24" s="55"/>
      <c r="G24" s="71"/>
      <c r="H24" s="59"/>
      <c r="I24" s="445"/>
      <c r="J24" s="175"/>
    </row>
    <row r="25" spans="2:22" ht="25.2" customHeight="1" x14ac:dyDescent="0.6">
      <c r="B25" s="108">
        <v>17</v>
      </c>
      <c r="C25" s="55"/>
      <c r="D25" s="58"/>
      <c r="E25" s="54"/>
      <c r="F25" s="55"/>
      <c r="G25" s="71"/>
      <c r="H25" s="59"/>
      <c r="I25" s="445"/>
      <c r="J25" s="175"/>
    </row>
    <row r="26" spans="2:22" ht="25.2" customHeight="1" x14ac:dyDescent="0.6">
      <c r="B26" s="109">
        <v>18</v>
      </c>
      <c r="C26" s="55"/>
      <c r="D26" s="58"/>
      <c r="E26" s="54"/>
      <c r="F26" s="54"/>
      <c r="G26" s="71"/>
      <c r="H26" s="59"/>
      <c r="I26" s="445"/>
      <c r="J26" s="176"/>
    </row>
    <row r="27" spans="2:22" ht="25.2" customHeight="1" x14ac:dyDescent="0.6">
      <c r="B27" s="108">
        <v>19</v>
      </c>
      <c r="C27" s="55"/>
      <c r="D27" s="58"/>
      <c r="E27" s="54"/>
      <c r="F27" s="54"/>
      <c r="G27" s="71"/>
      <c r="H27" s="59"/>
      <c r="I27" s="445"/>
      <c r="J27" s="175"/>
    </row>
    <row r="28" spans="2:22" ht="25.2" customHeight="1" x14ac:dyDescent="0.6">
      <c r="B28" s="108">
        <v>20</v>
      </c>
      <c r="C28" s="55"/>
      <c r="D28" s="58"/>
      <c r="E28" s="54"/>
      <c r="F28" s="54"/>
      <c r="G28" s="71"/>
      <c r="H28" s="59"/>
      <c r="I28" s="445"/>
      <c r="J28" s="175"/>
    </row>
    <row r="29" spans="2:22" ht="18" x14ac:dyDescent="0.45">
      <c r="B29" s="7"/>
      <c r="C29" s="12"/>
      <c r="D29" s="9"/>
      <c r="E29" s="9"/>
      <c r="F29" s="32" t="s">
        <v>18</v>
      </c>
      <c r="G29" s="33">
        <f>SUM(G9:G28)</f>
        <v>211244.69999999998</v>
      </c>
      <c r="H29" s="12"/>
      <c r="I29" s="7"/>
    </row>
    <row r="30" spans="2:22" ht="18" x14ac:dyDescent="0.45">
      <c r="B30" s="7"/>
      <c r="C30" s="12"/>
      <c r="D30" s="9"/>
      <c r="E30" s="9"/>
      <c r="F30" s="34" t="s">
        <v>19</v>
      </c>
      <c r="G30" s="35">
        <f>$C$6-G29</f>
        <v>3755.3000000000175</v>
      </c>
      <c r="H30" s="12"/>
      <c r="I30" s="7"/>
    </row>
    <row r="31" spans="2:22" ht="18" x14ac:dyDescent="0.45">
      <c r="B31" s="7"/>
      <c r="C31" s="12"/>
      <c r="D31" s="9"/>
      <c r="E31" s="9"/>
      <c r="F31" s="12"/>
      <c r="G31" s="12"/>
      <c r="H31" s="12"/>
      <c r="I31" s="7"/>
    </row>
    <row r="32" spans="2:22" ht="18" x14ac:dyDescent="0.45">
      <c r="B32" s="7"/>
      <c r="C32" s="12"/>
      <c r="D32" s="9"/>
      <c r="E32" s="9"/>
      <c r="F32" s="36" t="s">
        <v>20</v>
      </c>
      <c r="G32" s="37">
        <f>G30/C6</f>
        <v>1.7466511627907057E-2</v>
      </c>
      <c r="H32" s="38"/>
      <c r="I32" s="7"/>
    </row>
    <row r="33" spans="2:9" ht="26.4" x14ac:dyDescent="0.55000000000000004">
      <c r="B33" s="4"/>
      <c r="C33" s="11"/>
      <c r="D33" s="9"/>
      <c r="E33" s="10"/>
      <c r="F33" s="10"/>
      <c r="G33" s="3"/>
      <c r="H33" s="7"/>
      <c r="I33" s="7"/>
    </row>
    <row r="34" spans="2:9" ht="26.4" x14ac:dyDescent="0.55000000000000004">
      <c r="B34" s="143" t="s">
        <v>79</v>
      </c>
      <c r="C34" s="144" t="str">
        <f>'All Job balance report'!B23</f>
        <v>SOL-2604/02</v>
      </c>
      <c r="D34" s="12"/>
      <c r="E34" s="13"/>
      <c r="F34" s="10"/>
      <c r="G34" s="3"/>
      <c r="H34" s="7"/>
      <c r="I34" s="7"/>
    </row>
    <row r="35" spans="2:9" ht="19.8" x14ac:dyDescent="0.5">
      <c r="B35" s="82" t="s">
        <v>7</v>
      </c>
      <c r="C35" s="94">
        <f>'All Job balance report'!G23</f>
        <v>235660</v>
      </c>
      <c r="D35" s="15">
        <v>0</v>
      </c>
      <c r="E35" s="17"/>
      <c r="F35" s="18"/>
      <c r="G35" s="18"/>
      <c r="H35" s="18"/>
      <c r="I35" s="18"/>
    </row>
    <row r="36" spans="2:9" x14ac:dyDescent="0.25">
      <c r="B36" s="557" t="s">
        <v>23</v>
      </c>
      <c r="C36" s="557" t="s">
        <v>28</v>
      </c>
      <c r="D36" s="559"/>
      <c r="E36" s="555" t="s">
        <v>13</v>
      </c>
      <c r="F36" s="555" t="s">
        <v>54</v>
      </c>
      <c r="G36" s="555" t="s">
        <v>55</v>
      </c>
      <c r="H36" s="555" t="s">
        <v>56</v>
      </c>
      <c r="I36" s="555" t="s">
        <v>57</v>
      </c>
    </row>
    <row r="37" spans="2:9" x14ac:dyDescent="0.25">
      <c r="B37" s="558"/>
      <c r="C37" s="558"/>
      <c r="D37" s="560"/>
      <c r="E37" s="555"/>
      <c r="F37" s="555"/>
      <c r="G37" s="555"/>
      <c r="H37" s="555"/>
      <c r="I37" s="555"/>
    </row>
    <row r="38" spans="2:9" ht="20.399999999999999" x14ac:dyDescent="0.3">
      <c r="B38" s="73">
        <v>1</v>
      </c>
      <c r="C38" s="77">
        <v>10</v>
      </c>
      <c r="D38" s="77"/>
      <c r="E38" s="83" t="s">
        <v>25</v>
      </c>
      <c r="F38" s="100">
        <v>200000</v>
      </c>
      <c r="G38" s="94">
        <f>SUMIF($D$9:$D$28,$C$38,$G$9:$G$28)</f>
        <v>194804.69999999998</v>
      </c>
      <c r="H38" s="96">
        <f>F38-G38</f>
        <v>5195.3000000000175</v>
      </c>
      <c r="I38" s="84"/>
    </row>
    <row r="39" spans="2:9" ht="20.399999999999999" x14ac:dyDescent="0.3">
      <c r="B39" s="74">
        <v>2</v>
      </c>
      <c r="C39" s="80">
        <v>20</v>
      </c>
      <c r="D39" s="80"/>
      <c r="E39" s="83" t="s">
        <v>26</v>
      </c>
      <c r="F39" s="100">
        <v>0</v>
      </c>
      <c r="G39" s="94">
        <f>SUMIF($D$9:$D$28,$C$39,$G$9:$G$28)</f>
        <v>0</v>
      </c>
      <c r="H39" s="96">
        <f t="shared" ref="H39:H46" si="2">F39-G39</f>
        <v>0</v>
      </c>
      <c r="I39" s="84"/>
    </row>
    <row r="40" spans="2:9" ht="20.399999999999999" x14ac:dyDescent="0.3">
      <c r="B40" s="75">
        <v>3</v>
      </c>
      <c r="C40" s="80">
        <v>30</v>
      </c>
      <c r="D40" s="80"/>
      <c r="E40" s="83" t="s">
        <v>48</v>
      </c>
      <c r="F40" s="100">
        <v>0</v>
      </c>
      <c r="G40" s="94">
        <f>SUMIF($D$9:$D$28,$C$40,$G$9:$G$28)</f>
        <v>0</v>
      </c>
      <c r="H40" s="96">
        <f t="shared" si="2"/>
        <v>0</v>
      </c>
      <c r="I40" s="81"/>
    </row>
    <row r="41" spans="2:9" ht="20.399999999999999" x14ac:dyDescent="0.3">
      <c r="B41" s="75">
        <v>4</v>
      </c>
      <c r="C41" s="80">
        <v>40</v>
      </c>
      <c r="D41" s="80"/>
      <c r="E41" s="83" t="s">
        <v>49</v>
      </c>
      <c r="F41" s="100">
        <v>0</v>
      </c>
      <c r="G41" s="94">
        <f>SUMIF($D$9:$D$28,$C$41,$G$9:$G$28)</f>
        <v>0</v>
      </c>
      <c r="H41" s="96">
        <f t="shared" si="2"/>
        <v>0</v>
      </c>
      <c r="I41" s="81"/>
    </row>
    <row r="42" spans="2:9" ht="20.399999999999999" x14ac:dyDescent="0.3">
      <c r="B42" s="75">
        <v>5</v>
      </c>
      <c r="C42" s="80">
        <v>50</v>
      </c>
      <c r="D42" s="80"/>
      <c r="E42" s="83" t="s">
        <v>47</v>
      </c>
      <c r="F42" s="100">
        <v>15000</v>
      </c>
      <c r="G42" s="94">
        <f>SUMIF($D$9:$D$28,$C$42,$G$9:$G$28)</f>
        <v>16440</v>
      </c>
      <c r="H42" s="96">
        <f t="shared" si="2"/>
        <v>-1440</v>
      </c>
      <c r="I42" s="81"/>
    </row>
    <row r="43" spans="2:9" ht="20.399999999999999" x14ac:dyDescent="0.3">
      <c r="B43" s="76">
        <v>6</v>
      </c>
      <c r="C43" s="80">
        <v>60</v>
      </c>
      <c r="D43" s="80"/>
      <c r="E43" s="83" t="s">
        <v>51</v>
      </c>
      <c r="F43" s="100">
        <v>0</v>
      </c>
      <c r="G43" s="94">
        <f>SUMIF($D$9:$D$28,$C$43,$G$9:$G$28)</f>
        <v>0</v>
      </c>
      <c r="H43" s="96">
        <f t="shared" si="2"/>
        <v>0</v>
      </c>
      <c r="I43" s="81"/>
    </row>
    <row r="44" spans="2:9" ht="20.399999999999999" x14ac:dyDescent="0.3">
      <c r="B44" s="76">
        <v>7</v>
      </c>
      <c r="C44" s="80">
        <v>70</v>
      </c>
      <c r="D44" s="80"/>
      <c r="E44" s="83" t="s">
        <v>52</v>
      </c>
      <c r="F44" s="100">
        <v>0</v>
      </c>
      <c r="G44" s="94">
        <f>SUMIF($D$9:$D$28,$C$44,$G$9:$G$28)</f>
        <v>0</v>
      </c>
      <c r="H44" s="96">
        <f t="shared" si="2"/>
        <v>0</v>
      </c>
      <c r="I44" s="81"/>
    </row>
    <row r="45" spans="2:9" ht="20.399999999999999" x14ac:dyDescent="0.3">
      <c r="B45" s="76">
        <v>8</v>
      </c>
      <c r="C45" s="80">
        <v>80</v>
      </c>
      <c r="D45" s="80"/>
      <c r="E45" s="83" t="s">
        <v>53</v>
      </c>
      <c r="F45" s="100">
        <v>0</v>
      </c>
      <c r="G45" s="94">
        <f>SUMIF($D$9:$D$28,$C$45,$G$9:$G$28)</f>
        <v>0</v>
      </c>
      <c r="H45" s="96">
        <f t="shared" si="2"/>
        <v>0</v>
      </c>
      <c r="I45" s="81"/>
    </row>
    <row r="46" spans="2:9" ht="20.399999999999999" x14ac:dyDescent="0.3">
      <c r="B46" s="76">
        <v>9</v>
      </c>
      <c r="C46" s="80">
        <v>90</v>
      </c>
      <c r="D46" s="80"/>
      <c r="E46" s="83" t="s">
        <v>369</v>
      </c>
      <c r="F46" s="100">
        <v>0</v>
      </c>
      <c r="G46" s="94">
        <f>SUMIF($D$9:$D$28,$C$46,$G$9:$G$28)</f>
        <v>0</v>
      </c>
      <c r="H46" s="96">
        <f t="shared" si="2"/>
        <v>0</v>
      </c>
      <c r="I46" s="81"/>
    </row>
    <row r="47" spans="2:9" ht="20.399999999999999" x14ac:dyDescent="0.35">
      <c r="B47" s="89"/>
      <c r="C47" s="90"/>
      <c r="D47" s="90"/>
      <c r="E47" s="91" t="s">
        <v>59</v>
      </c>
      <c r="F47" s="92">
        <f>SUM(F38:F46)</f>
        <v>215000</v>
      </c>
      <c r="G47" s="92">
        <f>SUM(G38:G46)</f>
        <v>211244.69999999998</v>
      </c>
      <c r="H47" s="97">
        <f>SUM(H38:H46)</f>
        <v>3755.3000000000175</v>
      </c>
      <c r="I47" s="93"/>
    </row>
    <row r="48" spans="2:9" ht="20.399999999999999" x14ac:dyDescent="0.35">
      <c r="B48" s="89"/>
      <c r="C48" s="90"/>
      <c r="D48" s="90"/>
      <c r="E48" s="91" t="s">
        <v>60</v>
      </c>
      <c r="F48" s="88">
        <f>((C35-F47)/C35)</f>
        <v>8.7668675210048369E-2</v>
      </c>
      <c r="G48" s="88"/>
      <c r="H48" s="93"/>
      <c r="I48" s="93"/>
    </row>
    <row r="49" spans="2:9" ht="20.399999999999999" x14ac:dyDescent="0.35">
      <c r="B49" s="89"/>
      <c r="C49" s="90"/>
      <c r="D49" s="90"/>
      <c r="E49" s="91" t="s">
        <v>58</v>
      </c>
      <c r="F49" s="92">
        <f>F48*C35</f>
        <v>20660</v>
      </c>
      <c r="G49" s="92"/>
      <c r="H49" s="93"/>
      <c r="I49" s="93"/>
    </row>
    <row r="50" spans="2:9" ht="22.2" x14ac:dyDescent="0.35">
      <c r="B50" s="41"/>
      <c r="C50" s="40"/>
      <c r="D50" s="40"/>
      <c r="E50" s="91" t="s">
        <v>68</v>
      </c>
      <c r="F50" s="194">
        <f>C35-G47</f>
        <v>24415.300000000017</v>
      </c>
      <c r="G50" s="95"/>
      <c r="H50" s="81"/>
      <c r="I50" s="81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30" customHeight="1" x14ac:dyDescent="0.25">
      <c r="B52" s="41"/>
      <c r="C52" s="40"/>
      <c r="D52" s="40"/>
      <c r="E52" s="474"/>
      <c r="F52" s="540">
        <f>F50/F47</f>
        <v>0.11355953488372102</v>
      </c>
      <c r="G52" s="42"/>
      <c r="H52" s="43"/>
      <c r="I52" s="43"/>
    </row>
    <row r="53" spans="2:9" ht="15" x14ac:dyDescent="0.25">
      <c r="B53" s="41"/>
      <c r="C53" s="40"/>
      <c r="D53" s="40"/>
      <c r="E53" s="40"/>
      <c r="F53" s="40"/>
      <c r="G53" s="42"/>
      <c r="H53" s="43"/>
      <c r="I53" s="43"/>
    </row>
    <row r="54" spans="2:9" ht="15" x14ac:dyDescent="0.25">
      <c r="B54" s="41"/>
      <c r="C54" s="40"/>
      <c r="D54" s="40"/>
      <c r="E54" s="40"/>
      <c r="F54" s="40"/>
      <c r="G54" s="42"/>
      <c r="H54" s="43"/>
      <c r="I54" s="43"/>
    </row>
    <row r="55" spans="2:9" ht="18" x14ac:dyDescent="0.45">
      <c r="B55" s="7"/>
      <c r="C55" s="12"/>
      <c r="D55" s="9"/>
      <c r="E55" s="9"/>
      <c r="F55" s="39"/>
      <c r="G55" s="44"/>
      <c r="H55" s="12"/>
      <c r="I55" s="7"/>
    </row>
    <row r="56" spans="2:9" ht="18" x14ac:dyDescent="0.45">
      <c r="B56" s="7"/>
      <c r="C56" s="12"/>
      <c r="D56" s="9"/>
      <c r="E56" s="9"/>
      <c r="F56" s="45"/>
      <c r="G56" s="46"/>
      <c r="H56" s="12"/>
      <c r="I56" s="7"/>
    </row>
    <row r="57" spans="2:9" ht="18" x14ac:dyDescent="0.45">
      <c r="B57" s="7"/>
      <c r="C57" s="12"/>
      <c r="D57" s="9"/>
      <c r="E57" s="9"/>
      <c r="F57" s="12"/>
      <c r="G57" s="12"/>
      <c r="H57" s="12"/>
      <c r="I57" s="7"/>
    </row>
  </sheetData>
  <mergeCells count="8">
    <mergeCell ref="H36:H37"/>
    <mergeCell ref="I36:I37"/>
    <mergeCell ref="E4:F5"/>
    <mergeCell ref="B36:B37"/>
    <mergeCell ref="C36:D37"/>
    <mergeCell ref="E36:E37"/>
    <mergeCell ref="F36:F37"/>
    <mergeCell ref="G36:G37"/>
  </mergeCells>
  <conditionalFormatting sqref="H38:H47">
    <cfRule type="cellIs" dxfId="32" priority="1" operator="lessThan">
      <formula>0</formula>
    </cfRule>
    <cfRule type="cellIs" dxfId="31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B73F-B0C0-442E-9240-4D2DE38DB2AB}">
  <sheetPr>
    <pageSetUpPr fitToPage="1"/>
  </sheetPr>
  <dimension ref="B1:Q55"/>
  <sheetViews>
    <sheetView zoomScale="55" zoomScaleNormal="55" workbookViewId="0">
      <selection activeCell="J54" sqref="J54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2" max="12" width="24.3984375" customWidth="1"/>
    <col min="13" max="13" width="12.296875" customWidth="1"/>
    <col min="17" max="17" width="11.19921875" customWidth="1"/>
  </cols>
  <sheetData>
    <row r="1" spans="2:17" ht="22.2" x14ac:dyDescent="0.35">
      <c r="B1" s="14" t="s">
        <v>0</v>
      </c>
      <c r="C1" s="2" t="s">
        <v>559</v>
      </c>
      <c r="D1" s="2"/>
      <c r="E1" s="2"/>
      <c r="F1" s="3"/>
      <c r="G1" s="3"/>
      <c r="H1" s="146" t="s">
        <v>1</v>
      </c>
      <c r="I1" s="147">
        <v>45934</v>
      </c>
    </row>
    <row r="2" spans="2:17" ht="22.2" x14ac:dyDescent="0.55000000000000004">
      <c r="B2" s="4" t="s">
        <v>2</v>
      </c>
      <c r="C2" s="5" t="str">
        <f>'All Job balance report'!F15</f>
        <v>งานรถไฟฟ้าสายสีส้ม สำรวจหน้างาน</v>
      </c>
      <c r="D2" s="5"/>
      <c r="E2" s="5"/>
      <c r="F2" s="3"/>
      <c r="G2" s="3"/>
      <c r="H2" s="146" t="s">
        <v>3</v>
      </c>
      <c r="I2" s="148"/>
    </row>
    <row r="3" spans="2:17" ht="22.2" x14ac:dyDescent="0.55000000000000004">
      <c r="B3" s="4" t="s">
        <v>74</v>
      </c>
      <c r="C3" s="145" t="str">
        <f>C32</f>
        <v>TMD-2601/003</v>
      </c>
      <c r="D3" s="6"/>
      <c r="E3" s="6"/>
      <c r="F3" s="7"/>
      <c r="G3" s="7"/>
      <c r="H3" s="7"/>
      <c r="I3" s="7"/>
      <c r="M3" t="s">
        <v>84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7" ht="22.2" x14ac:dyDescent="0.55000000000000004">
      <c r="B5" s="4" t="s">
        <v>7</v>
      </c>
      <c r="C5" s="11">
        <f>C33</f>
        <v>400000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F45</f>
        <v>390000</v>
      </c>
      <c r="D6" s="12"/>
      <c r="E6" s="13"/>
      <c r="F6" s="10"/>
      <c r="G6" s="3"/>
      <c r="H6" s="7"/>
      <c r="I6" s="7"/>
      <c r="M6" t="s">
        <v>7</v>
      </c>
      <c r="P6" t="s">
        <v>536</v>
      </c>
      <c r="Q6" t="s">
        <v>123</v>
      </c>
    </row>
    <row r="7" spans="2:17" ht="22.2" x14ac:dyDescent="0.55000000000000004">
      <c r="B7" s="15" t="s">
        <v>9</v>
      </c>
      <c r="C7" s="16">
        <f>(C5-C6)/C5</f>
        <v>2.5000000000000001E-2</v>
      </c>
      <c r="D7" s="15" t="s">
        <v>10</v>
      </c>
      <c r="E7" s="17">
        <v>1</v>
      </c>
      <c r="F7" s="18"/>
      <c r="G7" s="18"/>
      <c r="H7" s="18"/>
      <c r="I7" s="18"/>
      <c r="L7" t="s">
        <v>522</v>
      </c>
      <c r="M7" s="149">
        <v>21753.1</v>
      </c>
      <c r="O7" t="s">
        <v>535</v>
      </c>
      <c r="P7">
        <v>30</v>
      </c>
      <c r="Q7" s="149">
        <v>14000</v>
      </c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L8" t="s">
        <v>523</v>
      </c>
      <c r="M8" s="149">
        <v>39301.1</v>
      </c>
      <c r="O8" t="s">
        <v>537</v>
      </c>
      <c r="P8">
        <v>25</v>
      </c>
      <c r="Q8" s="149">
        <f>400*P8</f>
        <v>10000</v>
      </c>
    </row>
    <row r="9" spans="2:17" ht="23.4" x14ac:dyDescent="0.6">
      <c r="B9" s="108">
        <v>1</v>
      </c>
      <c r="C9" s="54"/>
      <c r="D9" s="58">
        <v>20</v>
      </c>
      <c r="E9" s="54" t="s">
        <v>560</v>
      </c>
      <c r="F9" s="54"/>
      <c r="G9" s="71">
        <v>85000</v>
      </c>
      <c r="H9" s="59" t="s">
        <v>17</v>
      </c>
      <c r="I9" s="445">
        <v>46049</v>
      </c>
      <c r="J9" s="175"/>
      <c r="L9" t="s">
        <v>524</v>
      </c>
      <c r="M9" s="149">
        <v>0</v>
      </c>
      <c r="O9" t="s">
        <v>538</v>
      </c>
      <c r="P9">
        <v>6</v>
      </c>
      <c r="Q9" s="149">
        <v>6000</v>
      </c>
    </row>
    <row r="10" spans="2:17" ht="23.4" x14ac:dyDescent="0.6">
      <c r="B10" s="109">
        <v>2</v>
      </c>
      <c r="C10" s="54"/>
      <c r="D10" s="58">
        <v>10</v>
      </c>
      <c r="E10" s="54" t="s">
        <v>561</v>
      </c>
      <c r="F10" s="54"/>
      <c r="G10" s="71">
        <v>299904</v>
      </c>
      <c r="H10" s="59" t="s">
        <v>17</v>
      </c>
      <c r="I10" s="445"/>
      <c r="J10" s="176"/>
      <c r="L10" t="s">
        <v>525</v>
      </c>
      <c r="M10" s="149">
        <v>0</v>
      </c>
      <c r="Q10" s="149"/>
    </row>
    <row r="11" spans="2:17" ht="23.4" x14ac:dyDescent="0.6">
      <c r="B11" s="108">
        <v>3</v>
      </c>
      <c r="C11" s="54"/>
      <c r="D11" s="58">
        <v>10</v>
      </c>
      <c r="E11" s="54" t="s">
        <v>620</v>
      </c>
      <c r="F11" s="54"/>
      <c r="G11" s="71">
        <v>2500</v>
      </c>
      <c r="H11" s="59" t="s">
        <v>621</v>
      </c>
      <c r="I11" s="445"/>
      <c r="J11" s="176"/>
      <c r="M11" s="149"/>
      <c r="Q11" s="149"/>
    </row>
    <row r="12" spans="2:17" ht="23.4" x14ac:dyDescent="0.6">
      <c r="B12" s="109">
        <v>4</v>
      </c>
      <c r="C12" s="54"/>
      <c r="D12" s="58"/>
      <c r="E12" s="55"/>
      <c r="F12" s="54"/>
      <c r="G12" s="71"/>
      <c r="H12" s="59"/>
      <c r="I12" s="445"/>
      <c r="J12" s="176"/>
      <c r="M12" s="149"/>
      <c r="Q12" s="149"/>
    </row>
    <row r="13" spans="2:17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  <c r="M13" s="149"/>
      <c r="Q13" s="149"/>
    </row>
    <row r="14" spans="2:17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  <c r="M14" s="149"/>
      <c r="Q14" s="149"/>
    </row>
    <row r="15" spans="2:17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  <c r="M15" s="149"/>
      <c r="Q15" s="149"/>
    </row>
    <row r="16" spans="2:17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  <c r="M16" s="149"/>
      <c r="Q16" s="149"/>
    </row>
    <row r="17" spans="2:17" ht="25.2" customHeight="1" thickBot="1" x14ac:dyDescent="0.65">
      <c r="B17" s="109">
        <v>11</v>
      </c>
      <c r="C17" s="55"/>
      <c r="D17" s="447"/>
      <c r="E17" s="448"/>
      <c r="F17" s="55"/>
      <c r="G17" s="71"/>
      <c r="H17" s="59"/>
      <c r="I17" s="445"/>
      <c r="J17" s="175"/>
      <c r="M17" s="514">
        <f>SUM(M7:M16)</f>
        <v>61054.2</v>
      </c>
      <c r="Q17" s="514">
        <f>SUM(Q7:Q16)</f>
        <v>30000</v>
      </c>
    </row>
    <row r="18" spans="2:17" ht="25.2" customHeight="1" thickTop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  <c r="M18" s="149"/>
    </row>
    <row r="19" spans="2:17" ht="25.2" customHeight="1" x14ac:dyDescent="0.6">
      <c r="B19" s="108">
        <v>13</v>
      </c>
      <c r="C19" s="55"/>
      <c r="D19" s="447"/>
      <c r="E19" s="448"/>
      <c r="F19" s="55"/>
      <c r="G19" s="71"/>
      <c r="H19" s="59"/>
      <c r="I19" s="445"/>
      <c r="J19" s="175"/>
      <c r="M19" s="149"/>
    </row>
    <row r="20" spans="2:17" ht="25.2" customHeight="1" x14ac:dyDescent="0.6">
      <c r="B20" s="109">
        <v>14</v>
      </c>
      <c r="C20" s="55"/>
      <c r="D20" s="447"/>
      <c r="E20" s="448"/>
      <c r="F20" s="55"/>
      <c r="G20" s="71"/>
      <c r="H20" s="59"/>
      <c r="I20" s="445"/>
      <c r="J20" s="175"/>
    </row>
    <row r="21" spans="2:17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7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7" ht="25.2" customHeight="1" x14ac:dyDescent="0.6">
      <c r="B23" s="109">
        <v>99</v>
      </c>
      <c r="C23" s="55"/>
      <c r="D23" s="58"/>
      <c r="E23" s="54"/>
      <c r="F23" s="55"/>
      <c r="G23" s="71"/>
      <c r="H23" s="59"/>
      <c r="I23" s="445"/>
      <c r="J23" s="175"/>
    </row>
    <row r="24" spans="2:17" ht="25.2" customHeight="1" x14ac:dyDescent="0.6">
      <c r="B24" s="108">
        <v>99</v>
      </c>
      <c r="C24" s="55"/>
      <c r="D24" s="58"/>
      <c r="E24" s="54"/>
      <c r="F24" s="54"/>
      <c r="G24" s="71"/>
      <c r="H24" s="59"/>
      <c r="I24" s="445"/>
      <c r="J24" s="176"/>
    </row>
    <row r="25" spans="2:17" ht="25.2" customHeight="1" x14ac:dyDescent="0.6">
      <c r="B25" s="108">
        <v>99</v>
      </c>
      <c r="C25" s="55"/>
      <c r="D25" s="58"/>
      <c r="E25" s="54"/>
      <c r="F25" s="54"/>
      <c r="G25" s="71"/>
      <c r="H25" s="59"/>
      <c r="I25" s="445"/>
      <c r="J25" s="175"/>
    </row>
    <row r="26" spans="2:17" ht="25.2" customHeight="1" x14ac:dyDescent="0.6">
      <c r="B26" s="108">
        <v>99</v>
      </c>
      <c r="C26" s="55"/>
      <c r="D26" s="58"/>
      <c r="E26" s="54"/>
      <c r="F26" s="54"/>
      <c r="G26" s="71"/>
      <c r="H26" s="59"/>
      <c r="I26" s="445"/>
      <c r="J26" s="175"/>
    </row>
    <row r="27" spans="2:17" ht="18" x14ac:dyDescent="0.45">
      <c r="B27" s="7"/>
      <c r="C27" s="12"/>
      <c r="D27" s="9"/>
      <c r="E27" s="9"/>
      <c r="F27" s="32" t="s">
        <v>18</v>
      </c>
      <c r="G27" s="33">
        <f>SUM(G9:G26)</f>
        <v>387404</v>
      </c>
      <c r="H27" s="12"/>
      <c r="I27" s="7"/>
    </row>
    <row r="28" spans="2:17" ht="18" x14ac:dyDescent="0.45">
      <c r="B28" s="7"/>
      <c r="C28" s="12"/>
      <c r="D28" s="9"/>
      <c r="E28" s="9"/>
      <c r="F28" s="34" t="s">
        <v>19</v>
      </c>
      <c r="G28" s="35">
        <f>$C$6-G27</f>
        <v>2596</v>
      </c>
      <c r="H28" s="12"/>
      <c r="I28" s="7"/>
    </row>
    <row r="29" spans="2:17" ht="18" x14ac:dyDescent="0.45">
      <c r="B29" s="7"/>
      <c r="C29" s="12"/>
      <c r="D29" s="9"/>
      <c r="E29" s="9"/>
      <c r="F29" s="12"/>
      <c r="G29" s="12"/>
      <c r="H29" s="12"/>
      <c r="I29" s="7"/>
    </row>
    <row r="30" spans="2:17" ht="18" x14ac:dyDescent="0.45">
      <c r="B30" s="7"/>
      <c r="C30" s="12"/>
      <c r="D30" s="9"/>
      <c r="E30" s="9"/>
      <c r="F30" s="36" t="s">
        <v>20</v>
      </c>
      <c r="G30" s="37">
        <f>G28/C6</f>
        <v>6.6564102564102565E-3</v>
      </c>
      <c r="H30" s="38"/>
      <c r="I30" s="7"/>
    </row>
    <row r="31" spans="2:17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7" ht="26.4" x14ac:dyDescent="0.55000000000000004">
      <c r="B32" s="143" t="s">
        <v>79</v>
      </c>
      <c r="C32" s="144" t="str">
        <f>'All Job balance report'!B17</f>
        <v>TMD-2601/003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v>400000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300000</v>
      </c>
      <c r="G36" s="94">
        <f>SUMIF($D$9:$D$26,$C$36,$G$9:$G$26)</f>
        <v>302404</v>
      </c>
      <c r="H36" s="96">
        <f>F36-G36</f>
        <v>-2404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v>90000</v>
      </c>
      <c r="G37" s="94">
        <f>SUMIF($D$9:$D$26,$C$37,$G$9:$G$26)</f>
        <v>85000</v>
      </c>
      <c r="H37" s="96">
        <f t="shared" ref="H37:H44" si="0">F37-G37</f>
        <v>5000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0</v>
      </c>
      <c r="G40" s="94">
        <f>SUMIF($D$9:$D$26,$C$40,$G$9:$G$26)</f>
        <v>0</v>
      </c>
      <c r="H40" s="96">
        <f t="shared" si="0"/>
        <v>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390000</v>
      </c>
      <c r="G45" s="92">
        <f>SUM(G36:G44)</f>
        <v>387404</v>
      </c>
      <c r="H45" s="97">
        <f>SUM(H36:H44)</f>
        <v>2596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2.5000000000000001E-2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10000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12596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/>
      <c r="F50" s="472"/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30" priority="1" operator="lessThan">
      <formula>0</formula>
    </cfRule>
    <cfRule type="cellIs" dxfId="29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A52A-AF3E-4DD4-A00F-983B010107F2}">
  <sheetPr>
    <pageSetUpPr fitToPage="1"/>
  </sheetPr>
  <dimension ref="B1:Q55"/>
  <sheetViews>
    <sheetView zoomScale="55" zoomScaleNormal="55" workbookViewId="0">
      <selection activeCell="E26" sqref="E26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2" max="12" width="24.3984375" customWidth="1"/>
    <col min="13" max="13" width="12.296875" customWidth="1"/>
    <col min="17" max="17" width="11.19921875" customWidth="1"/>
  </cols>
  <sheetData>
    <row r="1" spans="2:17" ht="22.2" x14ac:dyDescent="0.35">
      <c r="B1" s="14" t="s">
        <v>0</v>
      </c>
      <c r="C1" s="2" t="str">
        <f>'All Job balance report'!D15</f>
        <v>Thai Meidensha Co., Ltd.</v>
      </c>
      <c r="D1" s="2"/>
      <c r="E1" s="2"/>
      <c r="F1" s="3"/>
      <c r="G1" s="3"/>
      <c r="H1" s="146" t="s">
        <v>1</v>
      </c>
      <c r="I1" s="147">
        <v>45934</v>
      </c>
    </row>
    <row r="2" spans="2:17" ht="22.2" x14ac:dyDescent="0.55000000000000004">
      <c r="B2" s="4" t="s">
        <v>2</v>
      </c>
      <c r="C2" s="5" t="str">
        <f>'All Job balance report'!F15</f>
        <v>งานรถไฟฟ้าสายสีส้ม สำรวจหน้างาน</v>
      </c>
      <c r="D2" s="5"/>
      <c r="E2" s="5"/>
      <c r="F2" s="3"/>
      <c r="G2" s="3"/>
      <c r="H2" s="146" t="s">
        <v>3</v>
      </c>
      <c r="I2" s="148"/>
    </row>
    <row r="3" spans="2:17" ht="22.2" x14ac:dyDescent="0.55000000000000004">
      <c r="B3" s="4" t="s">
        <v>74</v>
      </c>
      <c r="C3" s="145" t="str">
        <f>C32</f>
        <v>TMD-2601/003</v>
      </c>
      <c r="D3" s="6"/>
      <c r="E3" s="6"/>
      <c r="F3" s="7"/>
      <c r="G3" s="7"/>
      <c r="H3" s="7"/>
      <c r="I3" s="7"/>
      <c r="M3" t="s">
        <v>84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7" ht="22.2" x14ac:dyDescent="0.55000000000000004">
      <c r="B5" s="4" t="s">
        <v>7</v>
      </c>
      <c r="C5" s="11">
        <f>C33</f>
        <v>20000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F45</f>
        <v>16000</v>
      </c>
      <c r="D6" s="12"/>
      <c r="E6" s="13"/>
      <c r="F6" s="10"/>
      <c r="G6" s="3"/>
      <c r="H6" s="7"/>
      <c r="I6" s="7"/>
      <c r="M6" t="s">
        <v>7</v>
      </c>
      <c r="P6" t="s">
        <v>536</v>
      </c>
      <c r="Q6" t="s">
        <v>123</v>
      </c>
    </row>
    <row r="7" spans="2:17" ht="22.2" x14ac:dyDescent="0.55000000000000004">
      <c r="B7" s="15" t="s">
        <v>9</v>
      </c>
      <c r="C7" s="16">
        <f>(C5-C6)/C5</f>
        <v>0.2</v>
      </c>
      <c r="D7" s="15" t="s">
        <v>10</v>
      </c>
      <c r="E7" s="17">
        <v>1</v>
      </c>
      <c r="F7" s="18"/>
      <c r="G7" s="18"/>
      <c r="H7" s="18"/>
      <c r="I7" s="18"/>
      <c r="L7" t="s">
        <v>522</v>
      </c>
      <c r="M7" s="149">
        <v>21753.1</v>
      </c>
      <c r="O7" t="s">
        <v>535</v>
      </c>
      <c r="P7">
        <v>30</v>
      </c>
      <c r="Q7" s="149">
        <v>14000</v>
      </c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L8" t="s">
        <v>523</v>
      </c>
      <c r="M8" s="149">
        <v>39301.1</v>
      </c>
      <c r="O8" t="s">
        <v>537</v>
      </c>
      <c r="P8">
        <v>25</v>
      </c>
      <c r="Q8" s="149">
        <f>400*P8</f>
        <v>10000</v>
      </c>
    </row>
    <row r="9" spans="2:17" ht="23.4" x14ac:dyDescent="0.6">
      <c r="B9" s="108">
        <v>1</v>
      </c>
      <c r="C9" s="54"/>
      <c r="D9" s="58"/>
      <c r="E9" s="54"/>
      <c r="F9" s="54"/>
      <c r="G9" s="71"/>
      <c r="H9" s="59" t="s">
        <v>17</v>
      </c>
      <c r="I9" s="445">
        <v>46049</v>
      </c>
      <c r="J9" s="175"/>
      <c r="L9" t="s">
        <v>524</v>
      </c>
      <c r="M9" s="149">
        <v>0</v>
      </c>
      <c r="O9" t="s">
        <v>538</v>
      </c>
      <c r="P9">
        <v>6</v>
      </c>
      <c r="Q9" s="149">
        <v>6000</v>
      </c>
    </row>
    <row r="10" spans="2:17" ht="23.4" x14ac:dyDescent="0.6">
      <c r="B10" s="109">
        <v>2</v>
      </c>
      <c r="C10" s="54"/>
      <c r="D10" s="58"/>
      <c r="E10" s="54"/>
      <c r="F10" s="54"/>
      <c r="G10" s="71"/>
      <c r="H10" s="59"/>
      <c r="I10" s="445"/>
      <c r="J10" s="176"/>
      <c r="L10" t="s">
        <v>525</v>
      </c>
      <c r="M10" s="149">
        <v>0</v>
      </c>
      <c r="Q10" s="149"/>
    </row>
    <row r="11" spans="2:17" ht="23.4" x14ac:dyDescent="0.6">
      <c r="B11" s="108">
        <v>3</v>
      </c>
      <c r="C11" s="54"/>
      <c r="D11" s="58"/>
      <c r="E11" s="54"/>
      <c r="F11" s="54"/>
      <c r="G11" s="71"/>
      <c r="H11" s="59"/>
      <c r="I11" s="445"/>
      <c r="J11" s="176"/>
      <c r="M11" s="149"/>
      <c r="Q11" s="149"/>
    </row>
    <row r="12" spans="2:17" ht="23.4" x14ac:dyDescent="0.6">
      <c r="B12" s="109">
        <v>4</v>
      </c>
      <c r="C12" s="54"/>
      <c r="D12" s="58"/>
      <c r="E12" s="55"/>
      <c r="F12" s="54"/>
      <c r="G12" s="71"/>
      <c r="H12" s="59"/>
      <c r="I12" s="445"/>
      <c r="J12" s="176"/>
      <c r="M12" s="149"/>
      <c r="Q12" s="149"/>
    </row>
    <row r="13" spans="2:17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  <c r="M13" s="149"/>
      <c r="Q13" s="149"/>
    </row>
    <row r="14" spans="2:17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  <c r="M14" s="149"/>
      <c r="Q14" s="149"/>
    </row>
    <row r="15" spans="2:17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  <c r="M15" s="149"/>
      <c r="Q15" s="149"/>
    </row>
    <row r="16" spans="2:17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  <c r="M16" s="149"/>
      <c r="Q16" s="149"/>
    </row>
    <row r="17" spans="2:17" ht="25.2" customHeight="1" thickBot="1" x14ac:dyDescent="0.65">
      <c r="B17" s="109">
        <v>11</v>
      </c>
      <c r="C17" s="55"/>
      <c r="D17" s="447"/>
      <c r="E17" s="448"/>
      <c r="F17" s="55"/>
      <c r="G17" s="71"/>
      <c r="H17" s="59"/>
      <c r="I17" s="445"/>
      <c r="J17" s="175"/>
      <c r="M17" s="514">
        <f>SUM(M7:M16)</f>
        <v>61054.2</v>
      </c>
      <c r="Q17" s="514">
        <f>SUM(Q7:Q16)</f>
        <v>30000</v>
      </c>
    </row>
    <row r="18" spans="2:17" ht="25.2" customHeight="1" thickTop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  <c r="M18" s="149"/>
    </row>
    <row r="19" spans="2:17" ht="25.2" customHeight="1" x14ac:dyDescent="0.6">
      <c r="B19" s="108">
        <v>13</v>
      </c>
      <c r="C19" s="55"/>
      <c r="D19" s="447"/>
      <c r="E19" s="448"/>
      <c r="F19" s="55"/>
      <c r="G19" s="71"/>
      <c r="H19" s="59"/>
      <c r="I19" s="445"/>
      <c r="J19" s="175"/>
      <c r="M19" s="149"/>
    </row>
    <row r="20" spans="2:17" ht="25.2" customHeight="1" x14ac:dyDescent="0.6">
      <c r="B20" s="109">
        <v>14</v>
      </c>
      <c r="C20" s="55"/>
      <c r="D20" s="447"/>
      <c r="E20" s="448"/>
      <c r="F20" s="55"/>
      <c r="G20" s="71"/>
      <c r="H20" s="59"/>
      <c r="I20" s="445"/>
      <c r="J20" s="175"/>
    </row>
    <row r="21" spans="2:17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7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7" ht="25.2" customHeight="1" x14ac:dyDescent="0.6">
      <c r="B23" s="109">
        <v>99</v>
      </c>
      <c r="C23" s="55"/>
      <c r="D23" s="58"/>
      <c r="E23" s="54"/>
      <c r="F23" s="55"/>
      <c r="G23" s="71"/>
      <c r="H23" s="59"/>
      <c r="I23" s="445"/>
      <c r="J23" s="175"/>
    </row>
    <row r="24" spans="2:17" ht="25.2" customHeight="1" x14ac:dyDescent="0.6">
      <c r="B24" s="108">
        <v>99</v>
      </c>
      <c r="C24" s="55"/>
      <c r="D24" s="58"/>
      <c r="E24" s="54"/>
      <c r="F24" s="54"/>
      <c r="G24" s="71"/>
      <c r="H24" s="59"/>
      <c r="I24" s="445"/>
      <c r="J24" s="176"/>
    </row>
    <row r="25" spans="2:17" ht="25.2" customHeight="1" x14ac:dyDescent="0.6">
      <c r="B25" s="108">
        <v>99</v>
      </c>
      <c r="C25" s="55"/>
      <c r="D25" s="58"/>
      <c r="E25" s="54"/>
      <c r="F25" s="54"/>
      <c r="G25" s="71"/>
      <c r="H25" s="59"/>
      <c r="I25" s="445"/>
      <c r="J25" s="175"/>
    </row>
    <row r="26" spans="2:17" ht="25.2" customHeight="1" x14ac:dyDescent="0.6">
      <c r="B26" s="108">
        <v>99</v>
      </c>
      <c r="C26" s="55"/>
      <c r="D26" s="58"/>
      <c r="E26" s="54"/>
      <c r="F26" s="54"/>
      <c r="G26" s="71"/>
      <c r="H26" s="59"/>
      <c r="I26" s="445"/>
      <c r="J26" s="175"/>
    </row>
    <row r="27" spans="2:17" ht="18" x14ac:dyDescent="0.45">
      <c r="B27" s="7"/>
      <c r="C27" s="12"/>
      <c r="D27" s="9"/>
      <c r="E27" s="9"/>
      <c r="F27" s="32" t="s">
        <v>18</v>
      </c>
      <c r="G27" s="33">
        <f>SUM(G9:G26)</f>
        <v>0</v>
      </c>
      <c r="H27" s="12"/>
      <c r="I27" s="7"/>
    </row>
    <row r="28" spans="2:17" ht="18" x14ac:dyDescent="0.45">
      <c r="B28" s="7"/>
      <c r="C28" s="12"/>
      <c r="D28" s="9"/>
      <c r="E28" s="9"/>
      <c r="F28" s="34" t="s">
        <v>19</v>
      </c>
      <c r="G28" s="35">
        <f>$C$6-G27</f>
        <v>16000</v>
      </c>
      <c r="H28" s="12"/>
      <c r="I28" s="7"/>
    </row>
    <row r="29" spans="2:17" ht="18" x14ac:dyDescent="0.45">
      <c r="B29" s="7"/>
      <c r="C29" s="12"/>
      <c r="D29" s="9"/>
      <c r="E29" s="9"/>
      <c r="F29" s="12"/>
      <c r="G29" s="12"/>
      <c r="H29" s="12"/>
      <c r="I29" s="7"/>
    </row>
    <row r="30" spans="2:17" ht="18" x14ac:dyDescent="0.45">
      <c r="B30" s="7"/>
      <c r="C30" s="12"/>
      <c r="D30" s="9"/>
      <c r="E30" s="9"/>
      <c r="F30" s="36" t="s">
        <v>20</v>
      </c>
      <c r="G30" s="37">
        <f>G28/C6</f>
        <v>1</v>
      </c>
      <c r="H30" s="38"/>
      <c r="I30" s="7"/>
    </row>
    <row r="31" spans="2:17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7" ht="26.4" x14ac:dyDescent="0.55000000000000004">
      <c r="B32" s="143" t="s">
        <v>79</v>
      </c>
      <c r="C32" s="144" t="str">
        <f>'All Job balance report'!B17</f>
        <v>TMD-2601/003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'All Job balance report'!G17</f>
        <v>20000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0</v>
      </c>
      <c r="G36" s="94">
        <f>SUMIF($D$9:$D$26,$C$36,$G$9:$G$26)</f>
        <v>0</v>
      </c>
      <c r="H36" s="96">
        <f>F36-G36</f>
        <v>0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v>10000</v>
      </c>
      <c r="G37" s="94">
        <f>SUMIF($D$9:$D$26,$C$37,$G$9:$G$26)</f>
        <v>0</v>
      </c>
      <c r="H37" s="96">
        <f t="shared" ref="H37:H44" si="0">F37-G37</f>
        <v>10000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6000</v>
      </c>
      <c r="G40" s="94">
        <f>SUMIF($D$9:$D$26,$C$40,$G$9:$G$26)</f>
        <v>0</v>
      </c>
      <c r="H40" s="96">
        <f t="shared" si="0"/>
        <v>6000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16000</v>
      </c>
      <c r="G45" s="92">
        <f>SUM(G36:G44)</f>
        <v>0</v>
      </c>
      <c r="H45" s="97">
        <f>SUM(H36:H44)</f>
        <v>16000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0.2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4000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20000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5000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28" priority="1" operator="lessThan">
      <formula>0</formula>
    </cfRule>
    <cfRule type="cellIs" dxfId="27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8757-2464-457C-A0AC-745BC15C43EE}">
  <sheetPr>
    <pageSetUpPr fitToPage="1"/>
  </sheetPr>
  <dimension ref="B1:M55"/>
  <sheetViews>
    <sheetView zoomScale="55" zoomScaleNormal="55" workbookViewId="0">
      <selection activeCell="G20" sqref="G20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2" max="12" width="24.3984375" customWidth="1"/>
    <col min="13" max="13" width="12.296875" customWidth="1"/>
  </cols>
  <sheetData>
    <row r="1" spans="2:13" ht="22.2" x14ac:dyDescent="0.35">
      <c r="B1" s="14" t="s">
        <v>0</v>
      </c>
      <c r="C1" s="2" t="str">
        <f>'All Job balance report'!D16</f>
        <v>Jatupaspol Co., Ltd.</v>
      </c>
      <c r="D1" s="2"/>
      <c r="E1" s="2"/>
      <c r="F1" s="3"/>
      <c r="G1" s="3"/>
      <c r="H1" s="146" t="s">
        <v>1</v>
      </c>
      <c r="I1" s="147">
        <v>46045</v>
      </c>
    </row>
    <row r="2" spans="2:13" ht="22.2" x14ac:dyDescent="0.55000000000000004">
      <c r="B2" s="4" t="s">
        <v>2</v>
      </c>
      <c r="C2" s="5" t="str">
        <f>'All Job balance report'!F16</f>
        <v>งาน Manday ลากสาย Gulf</v>
      </c>
      <c r="D2" s="5"/>
      <c r="E2" s="5"/>
      <c r="F2" s="3"/>
      <c r="G2" s="3"/>
      <c r="H2" s="146" t="s">
        <v>3</v>
      </c>
      <c r="I2" s="148"/>
    </row>
    <row r="3" spans="2:13" ht="22.2" x14ac:dyDescent="0.55000000000000004">
      <c r="B3" s="4" t="s">
        <v>74</v>
      </c>
      <c r="C3" s="145" t="str">
        <f>'All Job balance report'!B16</f>
        <v>JPP-2500/001</v>
      </c>
      <c r="D3" s="6"/>
      <c r="E3" s="6"/>
      <c r="F3" s="7"/>
      <c r="G3" s="7"/>
      <c r="H3" s="7"/>
      <c r="I3" s="7"/>
      <c r="M3" t="s">
        <v>84</v>
      </c>
    </row>
    <row r="4" spans="2:13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3" ht="22.2" x14ac:dyDescent="0.55000000000000004">
      <c r="B5" s="4" t="s">
        <v>7</v>
      </c>
      <c r="C5" s="11">
        <f>C33</f>
        <v>69855</v>
      </c>
      <c r="D5" s="9"/>
      <c r="E5" s="556"/>
      <c r="F5" s="556"/>
      <c r="G5" s="3"/>
      <c r="H5" s="7"/>
      <c r="I5" s="7"/>
    </row>
    <row r="6" spans="2:13" ht="26.4" x14ac:dyDescent="0.55000000000000004">
      <c r="B6" s="4" t="s">
        <v>8</v>
      </c>
      <c r="C6" s="11">
        <f>F45</f>
        <v>15000</v>
      </c>
      <c r="D6" s="12"/>
      <c r="E6" s="13"/>
      <c r="F6" s="10"/>
      <c r="G6" s="3"/>
      <c r="H6" s="7"/>
      <c r="I6" s="7"/>
      <c r="M6" t="s">
        <v>7</v>
      </c>
    </row>
    <row r="7" spans="2:13" ht="22.2" x14ac:dyDescent="0.55000000000000004">
      <c r="B7" s="15" t="s">
        <v>9</v>
      </c>
      <c r="C7" s="16">
        <f>(C5-C6)/C5</f>
        <v>0.78526948679407349</v>
      </c>
      <c r="D7" s="15" t="s">
        <v>10</v>
      </c>
      <c r="E7" s="17">
        <v>1</v>
      </c>
      <c r="F7" s="18"/>
      <c r="G7" s="18"/>
      <c r="H7" s="18"/>
      <c r="I7" s="18"/>
      <c r="L7" t="s">
        <v>522</v>
      </c>
      <c r="M7" s="149">
        <v>0</v>
      </c>
    </row>
    <row r="8" spans="2:13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L8" t="s">
        <v>523</v>
      </c>
      <c r="M8" s="149">
        <v>0</v>
      </c>
    </row>
    <row r="9" spans="2:13" ht="23.4" x14ac:dyDescent="0.6">
      <c r="B9" s="108">
        <v>1</v>
      </c>
      <c r="C9" s="54" t="s">
        <v>533</v>
      </c>
      <c r="D9" s="58">
        <v>10</v>
      </c>
      <c r="E9" s="54" t="s">
        <v>532</v>
      </c>
      <c r="F9" s="54"/>
      <c r="G9" s="71">
        <v>466.36</v>
      </c>
      <c r="H9" s="59" t="s">
        <v>17</v>
      </c>
      <c r="I9" s="445">
        <v>46076</v>
      </c>
      <c r="J9" s="175"/>
      <c r="L9" t="s">
        <v>524</v>
      </c>
      <c r="M9" s="149">
        <v>0</v>
      </c>
    </row>
    <row r="10" spans="2:13" ht="23.4" x14ac:dyDescent="0.6">
      <c r="B10" s="109">
        <v>2</v>
      </c>
      <c r="C10" s="54"/>
      <c r="D10" s="58"/>
      <c r="E10" s="54"/>
      <c r="F10" s="54"/>
      <c r="G10" s="71"/>
      <c r="H10" s="59"/>
      <c r="I10" s="445"/>
      <c r="J10" s="176"/>
      <c r="L10" t="s">
        <v>525</v>
      </c>
      <c r="M10" s="149">
        <v>0</v>
      </c>
    </row>
    <row r="11" spans="2:13" ht="23.4" x14ac:dyDescent="0.6">
      <c r="B11" s="108">
        <v>3</v>
      </c>
      <c r="C11" s="54"/>
      <c r="D11" s="58"/>
      <c r="E11" s="54"/>
      <c r="F11" s="54"/>
      <c r="G11" s="71"/>
      <c r="H11" s="59"/>
      <c r="I11" s="445"/>
      <c r="J11" s="176"/>
      <c r="M11" s="149"/>
    </row>
    <row r="12" spans="2:13" ht="23.4" x14ac:dyDescent="0.6">
      <c r="B12" s="109">
        <v>4</v>
      </c>
      <c r="C12" s="54"/>
      <c r="D12" s="58"/>
      <c r="E12" s="55"/>
      <c r="F12" s="54"/>
      <c r="G12" s="71"/>
      <c r="H12" s="59"/>
      <c r="I12" s="445"/>
      <c r="J12" s="176"/>
      <c r="M12" s="149"/>
    </row>
    <row r="13" spans="2:13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  <c r="M13" s="149"/>
    </row>
    <row r="14" spans="2:13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  <c r="M14" s="149"/>
    </row>
    <row r="15" spans="2:13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  <c r="M15" s="149"/>
    </row>
    <row r="16" spans="2:13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  <c r="M16" s="149"/>
    </row>
    <row r="17" spans="2:13" ht="25.2" customHeight="1" thickBot="1" x14ac:dyDescent="0.65">
      <c r="B17" s="109">
        <v>11</v>
      </c>
      <c r="C17" s="55"/>
      <c r="D17" s="447"/>
      <c r="E17" s="448"/>
      <c r="F17" s="55"/>
      <c r="G17" s="71"/>
      <c r="H17" s="59"/>
      <c r="I17" s="445"/>
      <c r="J17" s="175"/>
      <c r="M17" s="514">
        <f>SUM(M7:M16)</f>
        <v>0</v>
      </c>
    </row>
    <row r="18" spans="2:13" ht="25.2" customHeight="1" thickTop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  <c r="M18" s="149"/>
    </row>
    <row r="19" spans="2:13" ht="25.2" customHeight="1" x14ac:dyDescent="0.6">
      <c r="B19" s="108">
        <v>13</v>
      </c>
      <c r="C19" s="55"/>
      <c r="D19" s="447"/>
      <c r="E19" s="448"/>
      <c r="F19" s="55"/>
      <c r="G19" s="71"/>
      <c r="H19" s="59"/>
      <c r="I19" s="445"/>
      <c r="J19" s="175"/>
      <c r="M19" s="149"/>
    </row>
    <row r="20" spans="2:13" ht="25.2" customHeight="1" x14ac:dyDescent="0.6">
      <c r="B20" s="109">
        <v>14</v>
      </c>
      <c r="C20" s="55"/>
      <c r="D20" s="447"/>
      <c r="E20" s="448"/>
      <c r="F20" s="55"/>
      <c r="G20" s="71"/>
      <c r="H20" s="59"/>
      <c r="I20" s="445"/>
      <c r="J20" s="175"/>
    </row>
    <row r="21" spans="2:13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3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3" ht="25.2" customHeight="1" x14ac:dyDescent="0.6">
      <c r="B23" s="109">
        <v>99</v>
      </c>
      <c r="C23" s="55"/>
      <c r="D23" s="58"/>
      <c r="E23" s="54"/>
      <c r="F23" s="55"/>
      <c r="G23" s="71"/>
      <c r="H23" s="59"/>
      <c r="I23" s="445"/>
      <c r="J23" s="175"/>
    </row>
    <row r="24" spans="2:13" ht="25.2" customHeight="1" x14ac:dyDescent="0.6">
      <c r="B24" s="108">
        <v>99</v>
      </c>
      <c r="C24" s="55"/>
      <c r="D24" s="58"/>
      <c r="E24" s="54"/>
      <c r="F24" s="54"/>
      <c r="G24" s="71"/>
      <c r="H24" s="59"/>
      <c r="I24" s="445"/>
      <c r="J24" s="176"/>
    </row>
    <row r="25" spans="2:13" ht="25.2" customHeight="1" x14ac:dyDescent="0.6">
      <c r="B25" s="108">
        <v>99</v>
      </c>
      <c r="C25" s="55"/>
      <c r="D25" s="58"/>
      <c r="E25" s="54"/>
      <c r="F25" s="54"/>
      <c r="G25" s="71"/>
      <c r="H25" s="59"/>
      <c r="I25" s="445"/>
      <c r="J25" s="175"/>
    </row>
    <row r="26" spans="2:13" ht="25.2" customHeight="1" x14ac:dyDescent="0.6">
      <c r="B26" s="108">
        <v>99</v>
      </c>
      <c r="C26" s="55"/>
      <c r="D26" s="58"/>
      <c r="E26" s="54"/>
      <c r="F26" s="54"/>
      <c r="G26" s="71"/>
      <c r="H26" s="59"/>
      <c r="I26" s="445"/>
      <c r="J26" s="175"/>
    </row>
    <row r="27" spans="2:13" ht="18" x14ac:dyDescent="0.45">
      <c r="B27" s="7"/>
      <c r="C27" s="12"/>
      <c r="D27" s="9"/>
      <c r="E27" s="9"/>
      <c r="F27" s="32" t="s">
        <v>18</v>
      </c>
      <c r="G27" s="33">
        <f>SUM(G9:G26)</f>
        <v>466.36</v>
      </c>
      <c r="H27" s="12"/>
      <c r="I27" s="7"/>
    </row>
    <row r="28" spans="2:13" ht="18" x14ac:dyDescent="0.45">
      <c r="B28" s="7"/>
      <c r="C28" s="12"/>
      <c r="D28" s="9"/>
      <c r="E28" s="9"/>
      <c r="F28" s="34" t="s">
        <v>19</v>
      </c>
      <c r="G28" s="35">
        <f>$C$6-G27</f>
        <v>14533.64</v>
      </c>
      <c r="H28" s="12"/>
      <c r="I28" s="7"/>
    </row>
    <row r="29" spans="2:13" ht="18" x14ac:dyDescent="0.45">
      <c r="B29" s="7"/>
      <c r="C29" s="12"/>
      <c r="D29" s="9"/>
      <c r="E29" s="9"/>
      <c r="F29" s="12"/>
      <c r="G29" s="12"/>
      <c r="H29" s="12"/>
      <c r="I29" s="7"/>
    </row>
    <row r="30" spans="2:13" ht="18" x14ac:dyDescent="0.45">
      <c r="B30" s="7"/>
      <c r="C30" s="12"/>
      <c r="D30" s="9"/>
      <c r="E30" s="9"/>
      <c r="F30" s="36" t="s">
        <v>20</v>
      </c>
      <c r="G30" s="37">
        <f>G28/C6</f>
        <v>0.96890933333333329</v>
      </c>
      <c r="H30" s="38"/>
      <c r="I30" s="7"/>
    </row>
    <row r="31" spans="2:13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3" ht="26.4" x14ac:dyDescent="0.55000000000000004">
      <c r="B32" s="143" t="s">
        <v>79</v>
      </c>
      <c r="C32" s="144" t="str">
        <f>'All Job balance report'!B16</f>
        <v>JPP-2500/001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'All Job balance report'!G15</f>
        <v>69855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5000</v>
      </c>
      <c r="G36" s="94">
        <f>SUMIF($D$9:$D$26,$C$36,$G$9:$G$26)</f>
        <v>466.36</v>
      </c>
      <c r="H36" s="96">
        <f>F36-G36</f>
        <v>4533.6400000000003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v>0</v>
      </c>
      <c r="G37" s="94">
        <f>SUMIF($D$9:$D$26,$C$37,$G$9:$G$26)</f>
        <v>0</v>
      </c>
      <c r="H37" s="96">
        <f t="shared" ref="H37:H44" si="0">F37-G37</f>
        <v>0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10000</v>
      </c>
      <c r="G40" s="94">
        <f>SUMIF($D$9:$D$26,$C$40,$G$9:$G$26)</f>
        <v>0</v>
      </c>
      <c r="H40" s="96">
        <f t="shared" si="0"/>
        <v>10000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15000</v>
      </c>
      <c r="G45" s="92">
        <f>SUM(G36:G44)</f>
        <v>466.36</v>
      </c>
      <c r="H45" s="97">
        <f>SUM(H36:H44)</f>
        <v>14533.64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0.78526948679407349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54855.000000000007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69388.639999999999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17347.16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26" priority="1" operator="lessThan">
      <formula>0</formula>
    </cfRule>
    <cfRule type="cellIs" dxfId="25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4342-6642-48C1-8A53-2B6FA55A73A7}">
  <sheetPr>
    <pageSetUpPr fitToPage="1"/>
  </sheetPr>
  <dimension ref="B1:Q55"/>
  <sheetViews>
    <sheetView topLeftCell="E1" zoomScaleNormal="100" workbookViewId="0">
      <selection activeCell="L4" sqref="L4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2" max="12" width="24.3984375" customWidth="1"/>
    <col min="13" max="13" width="12.296875" customWidth="1"/>
    <col min="17" max="17" width="11.19921875" customWidth="1"/>
  </cols>
  <sheetData>
    <row r="1" spans="2:17" ht="22.2" x14ac:dyDescent="0.35">
      <c r="B1" s="14" t="s">
        <v>0</v>
      </c>
      <c r="C1" s="2" t="str">
        <f>'All Job balance report'!D15</f>
        <v>Thai Meidensha Co., Ltd.</v>
      </c>
      <c r="D1" s="2"/>
      <c r="E1" s="2"/>
      <c r="F1" s="3"/>
      <c r="G1" s="3"/>
      <c r="H1" s="146" t="s">
        <v>1</v>
      </c>
      <c r="I1" s="147">
        <v>45934</v>
      </c>
    </row>
    <row r="2" spans="2:17" ht="22.2" x14ac:dyDescent="0.55000000000000004">
      <c r="B2" s="4" t="s">
        <v>2</v>
      </c>
      <c r="C2" s="5" t="str">
        <f>'All Job balance report'!F15</f>
        <v>งานรถไฟฟ้าสายสีส้ม สำรวจหน้างาน</v>
      </c>
      <c r="D2" s="5"/>
      <c r="E2" s="5"/>
      <c r="F2" s="3"/>
      <c r="G2" s="3"/>
      <c r="H2" s="146" t="s">
        <v>3</v>
      </c>
      <c r="I2" s="148"/>
    </row>
    <row r="3" spans="2:17" ht="22.2" x14ac:dyDescent="0.55000000000000004">
      <c r="B3" s="4" t="s">
        <v>74</v>
      </c>
      <c r="C3" s="145" t="str">
        <f>C32</f>
        <v>TMD-2601/002</v>
      </c>
      <c r="D3" s="6"/>
      <c r="E3" s="6"/>
      <c r="F3" s="7"/>
      <c r="G3" s="7"/>
      <c r="H3" s="7"/>
      <c r="I3" s="7"/>
      <c r="M3" t="s">
        <v>84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7" ht="22.2" x14ac:dyDescent="0.55000000000000004">
      <c r="B5" s="4" t="s">
        <v>7</v>
      </c>
      <c r="C5" s="11">
        <f>C33</f>
        <v>69855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F45</f>
        <v>40000</v>
      </c>
      <c r="D6" s="12"/>
      <c r="E6" s="13"/>
      <c r="F6" s="10"/>
      <c r="G6" s="3"/>
      <c r="H6" s="7"/>
      <c r="I6" s="7"/>
      <c r="M6" t="s">
        <v>7</v>
      </c>
      <c r="P6" t="s">
        <v>536</v>
      </c>
      <c r="Q6" t="s">
        <v>123</v>
      </c>
    </row>
    <row r="7" spans="2:17" ht="22.2" x14ac:dyDescent="0.55000000000000004">
      <c r="B7" s="15" t="s">
        <v>9</v>
      </c>
      <c r="C7" s="16">
        <f>(C5-C6)/C5</f>
        <v>0.42738529811752918</v>
      </c>
      <c r="D7" s="15" t="s">
        <v>10</v>
      </c>
      <c r="E7" s="17">
        <v>1</v>
      </c>
      <c r="F7" s="18"/>
      <c r="G7" s="18"/>
      <c r="H7" s="18"/>
      <c r="I7" s="18"/>
      <c r="L7" t="s">
        <v>522</v>
      </c>
      <c r="M7" s="149">
        <v>20330</v>
      </c>
      <c r="O7" t="s">
        <v>535</v>
      </c>
      <c r="P7">
        <v>30</v>
      </c>
      <c r="Q7" s="149">
        <v>14000</v>
      </c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L8" t="s">
        <v>523</v>
      </c>
      <c r="M8" s="149">
        <v>36730</v>
      </c>
      <c r="O8" t="s">
        <v>537</v>
      </c>
      <c r="P8">
        <v>25</v>
      </c>
      <c r="Q8" s="149">
        <f>400*P8</f>
        <v>10000</v>
      </c>
    </row>
    <row r="9" spans="2:17" ht="23.4" x14ac:dyDescent="0.6">
      <c r="B9" s="108">
        <v>1</v>
      </c>
      <c r="C9" s="54" t="s">
        <v>521</v>
      </c>
      <c r="D9" s="58">
        <v>10</v>
      </c>
      <c r="E9" s="54" t="s">
        <v>520</v>
      </c>
      <c r="F9" s="54"/>
      <c r="G9" s="71">
        <v>6745</v>
      </c>
      <c r="H9" s="59" t="s">
        <v>17</v>
      </c>
      <c r="I9" s="445">
        <v>46049</v>
      </c>
      <c r="J9" s="175"/>
      <c r="L9" t="s">
        <v>524</v>
      </c>
      <c r="M9" s="149">
        <v>12795</v>
      </c>
      <c r="O9" t="s">
        <v>538</v>
      </c>
      <c r="P9">
        <v>6</v>
      </c>
      <c r="Q9" s="149">
        <v>6000</v>
      </c>
    </row>
    <row r="10" spans="2:17" ht="23.4" x14ac:dyDescent="0.6">
      <c r="B10" s="109">
        <v>2</v>
      </c>
      <c r="C10" s="54"/>
      <c r="D10" s="58">
        <v>10</v>
      </c>
      <c r="E10" s="54" t="s">
        <v>526</v>
      </c>
      <c r="F10" s="54"/>
      <c r="G10" s="71">
        <v>1172.74</v>
      </c>
      <c r="H10" s="59" t="s">
        <v>17</v>
      </c>
      <c r="I10" s="445">
        <v>46069</v>
      </c>
      <c r="J10" s="176"/>
      <c r="L10" t="s">
        <v>525</v>
      </c>
      <c r="M10" s="149">
        <v>0</v>
      </c>
      <c r="Q10" s="149"/>
    </row>
    <row r="11" spans="2:17" ht="23.4" x14ac:dyDescent="0.6">
      <c r="B11" s="108">
        <v>3</v>
      </c>
      <c r="C11" s="54"/>
      <c r="D11" s="58">
        <v>10</v>
      </c>
      <c r="E11" s="54" t="s">
        <v>527</v>
      </c>
      <c r="F11" s="54"/>
      <c r="G11" s="71">
        <v>178.59</v>
      </c>
      <c r="H11" s="59" t="s">
        <v>17</v>
      </c>
      <c r="I11" s="445">
        <v>46063</v>
      </c>
      <c r="J11" s="176"/>
      <c r="M11" s="149"/>
      <c r="Q11" s="149"/>
    </row>
    <row r="12" spans="2:17" ht="23.4" x14ac:dyDescent="0.6">
      <c r="B12" s="109">
        <v>4</v>
      </c>
      <c r="C12" s="54"/>
      <c r="D12" s="58">
        <v>50</v>
      </c>
      <c r="E12" s="55" t="s">
        <v>534</v>
      </c>
      <c r="F12" s="54"/>
      <c r="G12" s="71">
        <f>Q17</f>
        <v>30000</v>
      </c>
      <c r="H12" s="59" t="s">
        <v>17</v>
      </c>
      <c r="I12" s="445">
        <v>46049</v>
      </c>
      <c r="J12" s="176"/>
      <c r="M12" s="149"/>
      <c r="Q12" s="149"/>
    </row>
    <row r="13" spans="2:17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  <c r="M13" s="149"/>
      <c r="Q13" s="149"/>
    </row>
    <row r="14" spans="2:17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  <c r="M14" s="149"/>
      <c r="Q14" s="149"/>
    </row>
    <row r="15" spans="2:17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  <c r="M15" s="149"/>
      <c r="Q15" s="149"/>
    </row>
    <row r="16" spans="2:17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  <c r="M16" s="149"/>
      <c r="Q16" s="149"/>
    </row>
    <row r="17" spans="2:17" ht="25.2" customHeight="1" thickBot="1" x14ac:dyDescent="0.65">
      <c r="B17" s="109">
        <v>11</v>
      </c>
      <c r="C17" s="55"/>
      <c r="D17" s="447"/>
      <c r="E17" s="448"/>
      <c r="F17" s="55"/>
      <c r="G17" s="71"/>
      <c r="H17" s="59"/>
      <c r="I17" s="445"/>
      <c r="J17" s="175"/>
      <c r="M17" s="514">
        <f>SUM(M7:M16)</f>
        <v>69855</v>
      </c>
      <c r="Q17" s="514">
        <f>SUM(Q7:Q16)</f>
        <v>30000</v>
      </c>
    </row>
    <row r="18" spans="2:17" ht="25.2" customHeight="1" thickTop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  <c r="M18" s="149"/>
    </row>
    <row r="19" spans="2:17" ht="25.2" customHeight="1" x14ac:dyDescent="0.6">
      <c r="B19" s="108">
        <v>13</v>
      </c>
      <c r="C19" s="55"/>
      <c r="D19" s="447"/>
      <c r="E19" s="448"/>
      <c r="F19" s="55"/>
      <c r="G19" s="71"/>
      <c r="H19" s="59"/>
      <c r="I19" s="445"/>
      <c r="J19" s="175"/>
      <c r="M19" s="149"/>
    </row>
    <row r="20" spans="2:17" ht="25.2" customHeight="1" x14ac:dyDescent="0.6">
      <c r="B20" s="109">
        <v>14</v>
      </c>
      <c r="C20" s="55"/>
      <c r="D20" s="447"/>
      <c r="E20" s="448"/>
      <c r="F20" s="55"/>
      <c r="G20" s="71"/>
      <c r="H20" s="59"/>
      <c r="I20" s="445"/>
      <c r="J20" s="175"/>
    </row>
    <row r="21" spans="2:17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7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7" ht="25.2" customHeight="1" x14ac:dyDescent="0.6">
      <c r="B23" s="109">
        <v>99</v>
      </c>
      <c r="C23" s="55"/>
      <c r="D23" s="58"/>
      <c r="E23" s="54"/>
      <c r="F23" s="55"/>
      <c r="G23" s="71"/>
      <c r="H23" s="59"/>
      <c r="I23" s="445"/>
      <c r="J23" s="175"/>
    </row>
    <row r="24" spans="2:17" ht="25.2" customHeight="1" x14ac:dyDescent="0.6">
      <c r="B24" s="108">
        <v>99</v>
      </c>
      <c r="C24" s="55"/>
      <c r="D24" s="58"/>
      <c r="E24" s="54"/>
      <c r="F24" s="54"/>
      <c r="G24" s="71"/>
      <c r="H24" s="59"/>
      <c r="I24" s="445"/>
      <c r="J24" s="176"/>
    </row>
    <row r="25" spans="2:17" ht="25.2" customHeight="1" x14ac:dyDescent="0.6">
      <c r="B25" s="108">
        <v>99</v>
      </c>
      <c r="C25" s="55"/>
      <c r="D25" s="58"/>
      <c r="E25" s="54"/>
      <c r="F25" s="54"/>
      <c r="G25" s="71"/>
      <c r="H25" s="59"/>
      <c r="I25" s="445"/>
      <c r="J25" s="175"/>
    </row>
    <row r="26" spans="2:17" ht="25.2" customHeight="1" x14ac:dyDescent="0.6">
      <c r="B26" s="108">
        <v>99</v>
      </c>
      <c r="C26" s="55"/>
      <c r="D26" s="58"/>
      <c r="E26" s="54"/>
      <c r="F26" s="54"/>
      <c r="G26" s="71"/>
      <c r="H26" s="59"/>
      <c r="I26" s="445"/>
      <c r="J26" s="175"/>
    </row>
    <row r="27" spans="2:17" ht="18" x14ac:dyDescent="0.45">
      <c r="B27" s="7"/>
      <c r="C27" s="12"/>
      <c r="D27" s="9"/>
      <c r="E27" s="9"/>
      <c r="F27" s="32" t="s">
        <v>18</v>
      </c>
      <c r="G27" s="33">
        <f>SUM(G9:G26)</f>
        <v>38096.33</v>
      </c>
      <c r="H27" s="12"/>
      <c r="I27" s="7"/>
    </row>
    <row r="28" spans="2:17" ht="18" x14ac:dyDescent="0.45">
      <c r="B28" s="7"/>
      <c r="C28" s="12"/>
      <c r="D28" s="9"/>
      <c r="E28" s="9"/>
      <c r="F28" s="34" t="s">
        <v>19</v>
      </c>
      <c r="G28" s="35">
        <f>$C$6-G27</f>
        <v>1903.6699999999983</v>
      </c>
      <c r="H28" s="12"/>
      <c r="I28" s="7"/>
    </row>
    <row r="29" spans="2:17" ht="18" x14ac:dyDescent="0.45">
      <c r="B29" s="7"/>
      <c r="C29" s="12"/>
      <c r="D29" s="9"/>
      <c r="E29" s="9"/>
      <c r="F29" s="12"/>
      <c r="G29" s="12"/>
      <c r="H29" s="12"/>
      <c r="I29" s="7"/>
    </row>
    <row r="30" spans="2:17" ht="18" x14ac:dyDescent="0.45">
      <c r="B30" s="7"/>
      <c r="C30" s="12"/>
      <c r="D30" s="9"/>
      <c r="E30" s="9"/>
      <c r="F30" s="36" t="s">
        <v>20</v>
      </c>
      <c r="G30" s="37">
        <f>G28/C6</f>
        <v>4.7591749999999954E-2</v>
      </c>
      <c r="H30" s="38"/>
      <c r="I30" s="7"/>
    </row>
    <row r="31" spans="2:17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7" ht="26.4" x14ac:dyDescent="0.55000000000000004">
      <c r="B32" s="143" t="s">
        <v>79</v>
      </c>
      <c r="C32" s="144" t="str">
        <f>'All Job balance report'!B15</f>
        <v>TMD-2601/002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'All Job balance report'!G15</f>
        <v>69855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10000</v>
      </c>
      <c r="G36" s="94">
        <f>SUMIF($D$9:$D$26,$C$36,$G$9:$G$26)</f>
        <v>8096.33</v>
      </c>
      <c r="H36" s="96">
        <f>F36-G36</f>
        <v>1903.67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v>0</v>
      </c>
      <c r="G37" s="94">
        <f>SUMIF($D$9:$D$26,$C$37,$G$9:$G$26)</f>
        <v>0</v>
      </c>
      <c r="H37" s="96">
        <f t="shared" ref="H37:H44" si="0">F37-G37</f>
        <v>0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30000</v>
      </c>
      <c r="G40" s="94">
        <f>SUMIF($D$9:$D$26,$C$40,$G$9:$G$26)</f>
        <v>30000</v>
      </c>
      <c r="H40" s="96">
        <f t="shared" si="0"/>
        <v>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40000</v>
      </c>
      <c r="G45" s="92">
        <f>SUM(G36:G44)</f>
        <v>38096.33</v>
      </c>
      <c r="H45" s="97">
        <f>SUM(H36:H44)</f>
        <v>1903.67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0.42738529811752918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29855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31758.67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7939.6674999999996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phoneticPr fontId="28" type="noConversion"/>
  <conditionalFormatting sqref="H36:H45">
    <cfRule type="cellIs" dxfId="24" priority="1" operator="lessThan">
      <formula>0</formula>
    </cfRule>
    <cfRule type="cellIs" dxfId="23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A618-D0E7-4A8E-A818-A80054D78B77}">
  <sheetPr>
    <pageSetUpPr fitToPage="1"/>
  </sheetPr>
  <dimension ref="B1:M55"/>
  <sheetViews>
    <sheetView zoomScale="55" zoomScaleNormal="55" workbookViewId="0">
      <selection activeCell="H49" sqref="H49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3" max="13" width="12.296875" customWidth="1"/>
  </cols>
  <sheetData>
    <row r="1" spans="2:13" ht="22.2" x14ac:dyDescent="0.35">
      <c r="B1" s="14" t="s">
        <v>0</v>
      </c>
      <c r="C1" s="2" t="str">
        <f>'All Job balance report'!D14</f>
        <v>Thai Meidensha Co., Ltd.</v>
      </c>
      <c r="D1" s="2"/>
      <c r="E1" s="2"/>
      <c r="F1" s="3"/>
      <c r="G1" s="3"/>
      <c r="H1" s="146" t="s">
        <v>1</v>
      </c>
      <c r="I1" s="147">
        <v>45934</v>
      </c>
    </row>
    <row r="2" spans="2:13" ht="22.2" x14ac:dyDescent="0.55000000000000004">
      <c r="B2" s="4" t="s">
        <v>2</v>
      </c>
      <c r="C2" s="5" t="str">
        <f>'All Job balance report'!F14</f>
        <v>งาน PM Test Protection Relay</v>
      </c>
      <c r="D2" s="5"/>
      <c r="E2" s="5"/>
      <c r="F2" s="3"/>
      <c r="G2" s="3"/>
      <c r="H2" s="146" t="s">
        <v>3</v>
      </c>
      <c r="I2" s="148"/>
    </row>
    <row r="3" spans="2:13" ht="22.2" x14ac:dyDescent="0.55000000000000004">
      <c r="B3" s="4" t="s">
        <v>74</v>
      </c>
      <c r="C3" s="145" t="str">
        <f>C32</f>
        <v>TMD-2601/001</v>
      </c>
      <c r="D3" s="6"/>
      <c r="E3" s="6"/>
      <c r="F3" s="7"/>
      <c r="G3" s="7"/>
      <c r="H3" s="7"/>
      <c r="I3" s="7"/>
      <c r="M3" t="s">
        <v>84</v>
      </c>
    </row>
    <row r="4" spans="2:13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3" ht="22.2" x14ac:dyDescent="0.55000000000000004">
      <c r="B5" s="4" t="s">
        <v>7</v>
      </c>
      <c r="C5" s="11">
        <f>C33</f>
        <v>42000</v>
      </c>
      <c r="D5" s="9"/>
      <c r="E5" s="556"/>
      <c r="F5" s="556"/>
      <c r="G5" s="3"/>
      <c r="H5" s="7"/>
      <c r="I5" s="7"/>
    </row>
    <row r="6" spans="2:13" ht="26.4" x14ac:dyDescent="0.55000000000000004">
      <c r="B6" s="4" t="s">
        <v>8</v>
      </c>
      <c r="C6" s="11">
        <f>F45</f>
        <v>40000</v>
      </c>
      <c r="D6" s="12"/>
      <c r="E6" s="13"/>
      <c r="F6" s="10"/>
      <c r="G6" s="3"/>
      <c r="H6" s="7"/>
      <c r="I6" s="7"/>
      <c r="M6" t="s">
        <v>7</v>
      </c>
    </row>
    <row r="7" spans="2:13" ht="22.2" x14ac:dyDescent="0.55000000000000004">
      <c r="B7" s="15" t="s">
        <v>9</v>
      </c>
      <c r="C7" s="16">
        <f>(C5-C6)/C5</f>
        <v>4.7619047619047616E-2</v>
      </c>
      <c r="D7" s="15" t="s">
        <v>10</v>
      </c>
      <c r="E7" s="17">
        <v>1</v>
      </c>
      <c r="F7" s="18"/>
      <c r="G7" s="18"/>
      <c r="H7" s="18"/>
      <c r="I7" s="18"/>
    </row>
    <row r="8" spans="2:13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</row>
    <row r="9" spans="2:13" ht="23.4" x14ac:dyDescent="0.6">
      <c r="B9" s="108">
        <v>1</v>
      </c>
      <c r="C9" s="54"/>
      <c r="D9" s="58">
        <v>20</v>
      </c>
      <c r="E9" s="54" t="s">
        <v>517</v>
      </c>
      <c r="F9" s="54"/>
      <c r="G9" s="71">
        <v>37000</v>
      </c>
      <c r="H9" s="59" t="s">
        <v>17</v>
      </c>
      <c r="I9" s="445">
        <v>46350</v>
      </c>
      <c r="J9" s="175"/>
    </row>
    <row r="10" spans="2:13" ht="23.4" x14ac:dyDescent="0.6">
      <c r="B10" s="109">
        <v>2</v>
      </c>
      <c r="C10" s="54"/>
      <c r="D10" s="58"/>
      <c r="E10" s="54"/>
      <c r="F10" s="54"/>
      <c r="G10" s="71"/>
      <c r="H10" s="59"/>
      <c r="I10" s="445"/>
      <c r="J10" s="176"/>
    </row>
    <row r="11" spans="2:13" ht="23.4" x14ac:dyDescent="0.6">
      <c r="B11" s="108">
        <v>3</v>
      </c>
      <c r="C11" s="54"/>
      <c r="D11" s="58"/>
      <c r="E11" s="54"/>
      <c r="F11" s="54"/>
      <c r="G11" s="71"/>
      <c r="H11" s="59"/>
      <c r="I11" s="445"/>
      <c r="J11" s="176"/>
    </row>
    <row r="12" spans="2:13" ht="23.4" x14ac:dyDescent="0.6">
      <c r="B12" s="109">
        <v>4</v>
      </c>
      <c r="C12" s="54"/>
      <c r="D12" s="58"/>
      <c r="E12" s="55"/>
      <c r="F12" s="54"/>
      <c r="G12" s="71"/>
      <c r="H12" s="59"/>
      <c r="I12" s="445"/>
      <c r="J12" s="176"/>
    </row>
    <row r="13" spans="2:13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</row>
    <row r="14" spans="2:13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</row>
    <row r="15" spans="2:13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</row>
    <row r="16" spans="2:13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</row>
    <row r="17" spans="2:10" ht="25.2" customHeight="1" x14ac:dyDescent="0.6">
      <c r="B17" s="109">
        <v>11</v>
      </c>
      <c r="C17" s="55"/>
      <c r="D17" s="447"/>
      <c r="E17" s="448"/>
      <c r="F17" s="55"/>
      <c r="G17" s="71"/>
      <c r="H17" s="59"/>
      <c r="I17" s="445"/>
      <c r="J17" s="175"/>
    </row>
    <row r="18" spans="2:10" ht="25.2" customHeight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</row>
    <row r="19" spans="2:10" ht="25.2" customHeight="1" x14ac:dyDescent="0.6">
      <c r="B19" s="109"/>
      <c r="C19" s="55"/>
      <c r="D19" s="447"/>
      <c r="E19" s="448"/>
      <c r="F19" s="55"/>
      <c r="G19" s="71"/>
      <c r="H19" s="59"/>
      <c r="I19" s="445"/>
      <c r="J19" s="175"/>
    </row>
    <row r="20" spans="2:10" ht="25.2" customHeight="1" x14ac:dyDescent="0.6">
      <c r="B20" s="109"/>
      <c r="C20" s="55"/>
      <c r="D20" s="447"/>
      <c r="E20" s="448"/>
      <c r="F20" s="55"/>
      <c r="G20" s="71"/>
      <c r="H20" s="59"/>
      <c r="I20" s="445"/>
      <c r="J20" s="175"/>
    </row>
    <row r="21" spans="2:10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0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0" ht="25.2" customHeight="1" x14ac:dyDescent="0.6">
      <c r="B23" s="109">
        <v>99</v>
      </c>
      <c r="C23" s="55"/>
      <c r="D23" s="58"/>
      <c r="E23" s="54"/>
      <c r="F23" s="55"/>
      <c r="G23" s="71"/>
      <c r="H23" s="59"/>
      <c r="I23" s="445"/>
      <c r="J23" s="175"/>
    </row>
    <row r="24" spans="2:10" ht="25.2" customHeight="1" x14ac:dyDescent="0.6">
      <c r="B24" s="108">
        <v>99</v>
      </c>
      <c r="C24" s="55"/>
      <c r="D24" s="58"/>
      <c r="E24" s="54"/>
      <c r="F24" s="54"/>
      <c r="G24" s="71"/>
      <c r="H24" s="59"/>
      <c r="I24" s="445"/>
      <c r="J24" s="176"/>
    </row>
    <row r="25" spans="2:10" ht="25.2" customHeight="1" x14ac:dyDescent="0.6">
      <c r="B25" s="108">
        <v>99</v>
      </c>
      <c r="C25" s="55"/>
      <c r="D25" s="58"/>
      <c r="E25" s="54"/>
      <c r="F25" s="54"/>
      <c r="G25" s="71"/>
      <c r="H25" s="59"/>
      <c r="I25" s="445"/>
      <c r="J25" s="175"/>
    </row>
    <row r="26" spans="2:10" ht="25.2" customHeight="1" x14ac:dyDescent="0.6">
      <c r="B26" s="108">
        <v>99</v>
      </c>
      <c r="C26" s="55"/>
      <c r="D26" s="58"/>
      <c r="E26" s="54"/>
      <c r="F26" s="54"/>
      <c r="G26" s="71"/>
      <c r="H26" s="59"/>
      <c r="I26" s="445"/>
      <c r="J26" s="175"/>
    </row>
    <row r="27" spans="2:10" ht="18" x14ac:dyDescent="0.45">
      <c r="B27" s="7"/>
      <c r="C27" s="12"/>
      <c r="D27" s="9"/>
      <c r="E27" s="9"/>
      <c r="F27" s="32" t="s">
        <v>18</v>
      </c>
      <c r="G27" s="33">
        <f>SUM(G9:G26)</f>
        <v>37000</v>
      </c>
      <c r="H27" s="12"/>
      <c r="I27" s="7"/>
    </row>
    <row r="28" spans="2:10" ht="18" x14ac:dyDescent="0.45">
      <c r="B28" s="7"/>
      <c r="C28" s="12"/>
      <c r="D28" s="9"/>
      <c r="E28" s="9"/>
      <c r="F28" s="34" t="s">
        <v>19</v>
      </c>
      <c r="G28" s="35">
        <f>$C$6-G27</f>
        <v>3000</v>
      </c>
      <c r="H28" s="12"/>
      <c r="I28" s="7"/>
    </row>
    <row r="29" spans="2:10" ht="18" x14ac:dyDescent="0.45">
      <c r="B29" s="7"/>
      <c r="C29" s="12"/>
      <c r="D29" s="9"/>
      <c r="E29" s="9"/>
      <c r="F29" s="12"/>
      <c r="G29" s="12"/>
      <c r="H29" s="12"/>
      <c r="I29" s="7"/>
    </row>
    <row r="30" spans="2:10" ht="18" x14ac:dyDescent="0.45">
      <c r="B30" s="7"/>
      <c r="C30" s="12"/>
      <c r="D30" s="9"/>
      <c r="E30" s="9"/>
      <c r="F30" s="36" t="s">
        <v>20</v>
      </c>
      <c r="G30" s="37">
        <f>G28/C6</f>
        <v>7.4999999999999997E-2</v>
      </c>
      <c r="H30" s="38"/>
      <c r="I30" s="7"/>
    </row>
    <row r="31" spans="2:10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0" ht="26.4" x14ac:dyDescent="0.55000000000000004">
      <c r="B32" s="143" t="s">
        <v>79</v>
      </c>
      <c r="C32" s="144" t="str">
        <f>'All Job balance report'!B14</f>
        <v>TMD-2601/001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'All Job balance report'!G14</f>
        <v>42000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0</v>
      </c>
      <c r="G36" s="94">
        <f>SUMIF($D$9:$D$26,$C$36,$G$9:$G$26)</f>
        <v>0</v>
      </c>
      <c r="H36" s="96">
        <f>F36-G36</f>
        <v>0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v>40000</v>
      </c>
      <c r="G37" s="94">
        <f>SUMIF($D$9:$D$26,$C$37,$G$9:$G$26)</f>
        <v>37000</v>
      </c>
      <c r="H37" s="96">
        <f t="shared" ref="H37:H44" si="0">F37-G37</f>
        <v>3000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0</v>
      </c>
      <c r="G40" s="94">
        <f>SUMIF($D$9:$D$26,$C$40,$G$9:$G$26)</f>
        <v>0</v>
      </c>
      <c r="H40" s="96">
        <f t="shared" si="0"/>
        <v>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40000</v>
      </c>
      <c r="G45" s="92">
        <f>SUM(G36:G44)</f>
        <v>37000</v>
      </c>
      <c r="H45" s="97">
        <f>SUM(H36:H44)</f>
        <v>3000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4.7619047619047616E-2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2000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5000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1250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22" priority="1" operator="lessThan">
      <formula>0</formula>
    </cfRule>
    <cfRule type="cellIs" dxfId="21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2976-AACC-4C51-BBE4-DD4375143C40}">
  <sheetPr>
    <pageSetUpPr fitToPage="1"/>
  </sheetPr>
  <dimension ref="B1:M55"/>
  <sheetViews>
    <sheetView zoomScale="55" zoomScaleNormal="55" workbookViewId="0">
      <selection activeCell="N18" sqref="N18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3" max="13" width="12.296875" customWidth="1"/>
  </cols>
  <sheetData>
    <row r="1" spans="2:13" ht="22.2" x14ac:dyDescent="0.35">
      <c r="B1" s="14" t="s">
        <v>0</v>
      </c>
      <c r="C1" s="2" t="str">
        <f>'All Job balance report'!D13</f>
        <v>Unity System Co., Ltd.</v>
      </c>
      <c r="D1" s="2"/>
      <c r="E1" s="2"/>
      <c r="F1" s="3"/>
      <c r="G1" s="3"/>
      <c r="H1" s="146" t="s">
        <v>1</v>
      </c>
      <c r="I1" s="147">
        <v>45934</v>
      </c>
    </row>
    <row r="2" spans="2:13" ht="22.2" x14ac:dyDescent="0.55000000000000004">
      <c r="B2" s="4" t="s">
        <v>2</v>
      </c>
      <c r="C2" s="5" t="str">
        <f>'All Job balance report'!F13</f>
        <v>งานค่าแรงผู้รับเหมา รพ.ภัทรเวช</v>
      </c>
      <c r="D2" s="5"/>
      <c r="E2" s="5"/>
      <c r="F2" s="3"/>
      <c r="G2" s="3"/>
      <c r="H2" s="146" t="s">
        <v>3</v>
      </c>
      <c r="I2" s="148"/>
    </row>
    <row r="3" spans="2:13" ht="22.2" x14ac:dyDescent="0.55000000000000004">
      <c r="B3" s="4" t="s">
        <v>74</v>
      </c>
      <c r="C3" s="145" t="str">
        <f>C32</f>
        <v>UNT-2601/001</v>
      </c>
      <c r="D3" s="6"/>
      <c r="E3" s="6"/>
      <c r="F3" s="7"/>
      <c r="G3" s="7"/>
      <c r="H3" s="7"/>
      <c r="I3" s="7"/>
      <c r="M3" t="s">
        <v>84</v>
      </c>
    </row>
    <row r="4" spans="2:13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3" ht="22.2" x14ac:dyDescent="0.55000000000000004">
      <c r="B5" s="4" t="s">
        <v>7</v>
      </c>
      <c r="C5" s="11">
        <f>C33</f>
        <v>143840.18</v>
      </c>
      <c r="D5" s="9"/>
      <c r="E5" s="556"/>
      <c r="F5" s="556"/>
      <c r="G5" s="3"/>
      <c r="H5" s="7"/>
      <c r="I5" s="7"/>
    </row>
    <row r="6" spans="2:13" ht="26.4" x14ac:dyDescent="0.55000000000000004">
      <c r="B6" s="4" t="s">
        <v>8</v>
      </c>
      <c r="C6" s="11">
        <f>F45</f>
        <v>143840.18</v>
      </c>
      <c r="D6" s="12"/>
      <c r="E6" s="13"/>
      <c r="F6" s="10"/>
      <c r="G6" s="3"/>
      <c r="H6" s="7"/>
      <c r="I6" s="7"/>
      <c r="M6" t="s">
        <v>7</v>
      </c>
    </row>
    <row r="7" spans="2:13" ht="22.2" x14ac:dyDescent="0.55000000000000004">
      <c r="B7" s="15" t="s">
        <v>9</v>
      </c>
      <c r="C7" s="16">
        <f>(C5-C6)/C5</f>
        <v>0</v>
      </c>
      <c r="D7" s="15" t="s">
        <v>10</v>
      </c>
      <c r="E7" s="17">
        <v>1</v>
      </c>
      <c r="F7" s="18"/>
      <c r="G7" s="18"/>
      <c r="H7" s="18"/>
      <c r="I7" s="18"/>
    </row>
    <row r="8" spans="2:13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</row>
    <row r="9" spans="2:13" ht="23.4" x14ac:dyDescent="0.6">
      <c r="B9" s="108">
        <v>1</v>
      </c>
      <c r="C9" s="54" t="s">
        <v>512</v>
      </c>
      <c r="D9" s="58">
        <v>20</v>
      </c>
      <c r="E9" s="54" t="s">
        <v>375</v>
      </c>
      <c r="F9" s="54"/>
      <c r="G9" s="71">
        <v>35959.040000000001</v>
      </c>
      <c r="H9" s="59" t="s">
        <v>17</v>
      </c>
      <c r="I9" s="445">
        <v>46036</v>
      </c>
      <c r="J9" s="175"/>
    </row>
    <row r="10" spans="2:13" ht="23.4" x14ac:dyDescent="0.6">
      <c r="B10" s="109">
        <v>2</v>
      </c>
      <c r="C10" s="54"/>
      <c r="D10" s="58">
        <v>20</v>
      </c>
      <c r="E10" s="54"/>
      <c r="F10" s="54"/>
      <c r="G10" s="71">
        <v>35107.15</v>
      </c>
      <c r="H10" s="59" t="s">
        <v>17</v>
      </c>
      <c r="I10" s="445">
        <v>46045</v>
      </c>
      <c r="J10" s="176"/>
    </row>
    <row r="11" spans="2:13" ht="23.4" x14ac:dyDescent="0.6">
      <c r="B11" s="108">
        <v>3</v>
      </c>
      <c r="C11" s="54"/>
      <c r="D11" s="58">
        <v>20</v>
      </c>
      <c r="E11" s="54"/>
      <c r="F11" s="54"/>
      <c r="G11" s="71">
        <v>57642</v>
      </c>
      <c r="H11" s="59" t="s">
        <v>17</v>
      </c>
      <c r="I11" s="445">
        <v>46062</v>
      </c>
      <c r="J11" s="176"/>
    </row>
    <row r="12" spans="2:13" ht="23.4" x14ac:dyDescent="0.6">
      <c r="B12" s="109">
        <v>4</v>
      </c>
      <c r="C12" s="54"/>
      <c r="D12" s="58">
        <v>20</v>
      </c>
      <c r="E12" s="55"/>
      <c r="F12" s="54"/>
      <c r="G12" s="71">
        <v>0</v>
      </c>
      <c r="H12" s="59"/>
      <c r="I12" s="445"/>
      <c r="J12" s="176"/>
    </row>
    <row r="13" spans="2:13" ht="25.2" customHeight="1" x14ac:dyDescent="0.6">
      <c r="B13" s="109">
        <v>6</v>
      </c>
      <c r="C13" s="54"/>
      <c r="D13" s="58"/>
      <c r="E13" s="54"/>
      <c r="F13" s="54"/>
      <c r="G13" s="71"/>
      <c r="H13" s="59"/>
      <c r="I13" s="445"/>
      <c r="J13" s="175"/>
    </row>
    <row r="14" spans="2:13" ht="25.2" customHeight="1" x14ac:dyDescent="0.6">
      <c r="B14" s="109">
        <v>8</v>
      </c>
      <c r="C14" s="55"/>
      <c r="D14" s="58"/>
      <c r="E14" s="54"/>
      <c r="F14" s="55"/>
      <c r="G14" s="71"/>
      <c r="H14" s="59"/>
      <c r="I14" s="445"/>
      <c r="J14" s="175"/>
    </row>
    <row r="15" spans="2:13" ht="25.2" customHeight="1" x14ac:dyDescent="0.6">
      <c r="B15" s="108">
        <v>9</v>
      </c>
      <c r="C15" s="55"/>
      <c r="D15" s="58"/>
      <c r="E15" s="54"/>
      <c r="F15" s="55"/>
      <c r="G15" s="71"/>
      <c r="H15" s="59"/>
      <c r="I15" s="445"/>
      <c r="J15" s="175"/>
    </row>
    <row r="16" spans="2:13" ht="25.2" customHeight="1" x14ac:dyDescent="0.6">
      <c r="B16" s="109">
        <v>10</v>
      </c>
      <c r="C16" s="55"/>
      <c r="D16" s="447"/>
      <c r="E16" s="448"/>
      <c r="F16" s="55"/>
      <c r="G16" s="71"/>
      <c r="H16" s="59"/>
      <c r="I16" s="445"/>
      <c r="J16" s="175"/>
    </row>
    <row r="17" spans="2:10" ht="25.2" customHeight="1" x14ac:dyDescent="0.6">
      <c r="B17" s="109">
        <v>11</v>
      </c>
      <c r="C17" s="55"/>
      <c r="D17" s="447"/>
      <c r="E17" s="448"/>
      <c r="F17" s="55"/>
      <c r="G17" s="71"/>
      <c r="H17" s="59"/>
      <c r="I17" s="445"/>
      <c r="J17" s="175"/>
    </row>
    <row r="18" spans="2:10" ht="25.2" customHeight="1" x14ac:dyDescent="0.6">
      <c r="B18" s="109">
        <v>12</v>
      </c>
      <c r="C18" s="55"/>
      <c r="D18" s="447"/>
      <c r="E18" s="448"/>
      <c r="F18" s="55"/>
      <c r="G18" s="71"/>
      <c r="H18" s="59"/>
      <c r="I18" s="445"/>
      <c r="J18" s="175"/>
    </row>
    <row r="19" spans="2:10" ht="25.2" customHeight="1" x14ac:dyDescent="0.6">
      <c r="B19" s="109"/>
      <c r="C19" s="55"/>
      <c r="D19" s="447"/>
      <c r="E19" s="448"/>
      <c r="F19" s="55"/>
      <c r="G19" s="71"/>
      <c r="H19" s="59"/>
      <c r="I19" s="445"/>
      <c r="J19" s="175"/>
    </row>
    <row r="20" spans="2:10" ht="25.2" customHeight="1" x14ac:dyDescent="0.6">
      <c r="B20" s="109"/>
      <c r="C20" s="55"/>
      <c r="D20" s="447"/>
      <c r="E20" s="448"/>
      <c r="F20" s="55"/>
      <c r="G20" s="71"/>
      <c r="H20" s="59"/>
      <c r="I20" s="445"/>
      <c r="J20" s="175"/>
    </row>
    <row r="21" spans="2:10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0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0" ht="25.2" customHeight="1" x14ac:dyDescent="0.6">
      <c r="B23" s="109">
        <v>99</v>
      </c>
      <c r="C23" s="55" t="s">
        <v>511</v>
      </c>
      <c r="D23" s="58">
        <v>0</v>
      </c>
      <c r="E23" s="54" t="s">
        <v>472</v>
      </c>
      <c r="F23" s="55"/>
      <c r="G23" s="71">
        <v>37349.300000000003</v>
      </c>
      <c r="H23" s="59" t="s">
        <v>17</v>
      </c>
      <c r="I23" s="445">
        <v>45962</v>
      </c>
      <c r="J23" s="175"/>
    </row>
    <row r="24" spans="2:10" ht="25.2" customHeight="1" x14ac:dyDescent="0.6">
      <c r="B24" s="108">
        <v>99</v>
      </c>
      <c r="C24" s="55" t="s">
        <v>530</v>
      </c>
      <c r="D24" s="58">
        <v>0</v>
      </c>
      <c r="E24" s="54" t="s">
        <v>472</v>
      </c>
      <c r="F24" s="54"/>
      <c r="G24" s="71">
        <v>38520</v>
      </c>
      <c r="H24" s="59" t="s">
        <v>17</v>
      </c>
      <c r="I24" s="445">
        <v>46038</v>
      </c>
      <c r="J24" s="176"/>
    </row>
    <row r="25" spans="2:10" ht="25.2" customHeight="1" x14ac:dyDescent="0.6">
      <c r="B25" s="108">
        <v>99</v>
      </c>
      <c r="C25" s="55" t="s">
        <v>531</v>
      </c>
      <c r="D25" s="58">
        <v>0</v>
      </c>
      <c r="E25" s="54" t="s">
        <v>472</v>
      </c>
      <c r="F25" s="54"/>
      <c r="G25" s="71">
        <v>51770.879999999997</v>
      </c>
      <c r="H25" s="59" t="s">
        <v>17</v>
      </c>
      <c r="I25" s="445">
        <v>46062</v>
      </c>
      <c r="J25" s="175"/>
    </row>
    <row r="26" spans="2:10" ht="25.2" customHeight="1" x14ac:dyDescent="0.6">
      <c r="B26" s="108">
        <v>99</v>
      </c>
      <c r="C26" s="55" t="s">
        <v>531</v>
      </c>
      <c r="D26" s="58">
        <v>0</v>
      </c>
      <c r="E26" s="54" t="s">
        <v>472</v>
      </c>
      <c r="F26" s="54"/>
      <c r="G26" s="71">
        <v>16200</v>
      </c>
      <c r="H26" s="59" t="s">
        <v>17</v>
      </c>
      <c r="I26" s="445">
        <v>46079</v>
      </c>
      <c r="J26" s="175"/>
    </row>
    <row r="27" spans="2:10" ht="18" x14ac:dyDescent="0.45">
      <c r="B27" s="7"/>
      <c r="C27" s="12"/>
      <c r="D27" s="9"/>
      <c r="E27" s="9"/>
      <c r="F27" s="32" t="s">
        <v>18</v>
      </c>
      <c r="G27" s="33">
        <f>SUM(G9:G19)</f>
        <v>128708.19</v>
      </c>
      <c r="H27" s="12"/>
      <c r="I27" s="7"/>
    </row>
    <row r="28" spans="2:10" ht="18" x14ac:dyDescent="0.45">
      <c r="B28" s="7"/>
      <c r="C28" s="12"/>
      <c r="D28" s="9"/>
      <c r="E28" s="9"/>
      <c r="F28" s="34" t="s">
        <v>19</v>
      </c>
      <c r="G28" s="35">
        <f>$C$6-G27</f>
        <v>15131.989999999991</v>
      </c>
      <c r="H28" s="12"/>
      <c r="I28" s="7"/>
    </row>
    <row r="29" spans="2:10" ht="18" x14ac:dyDescent="0.45">
      <c r="B29" s="7"/>
      <c r="C29" s="12"/>
      <c r="D29" s="9"/>
      <c r="E29" s="9"/>
      <c r="F29" s="12"/>
      <c r="G29" s="12"/>
      <c r="H29" s="12"/>
      <c r="I29" s="7"/>
    </row>
    <row r="30" spans="2:10" ht="18" x14ac:dyDescent="0.45">
      <c r="B30" s="7"/>
      <c r="C30" s="12"/>
      <c r="D30" s="9"/>
      <c r="E30" s="9"/>
      <c r="F30" s="36" t="s">
        <v>20</v>
      </c>
      <c r="G30" s="37">
        <f>G28/C6</f>
        <v>0.10520002130141934</v>
      </c>
      <c r="H30" s="38"/>
      <c r="I30" s="7"/>
    </row>
    <row r="31" spans="2:10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0" ht="26.4" x14ac:dyDescent="0.55000000000000004">
      <c r="B32" s="143" t="s">
        <v>79</v>
      </c>
      <c r="C32" s="144" t="str">
        <f>'All Job balance report'!B13</f>
        <v>UNT-2601/001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SUMIF($D$9:$D$26,$D$33,$G$9:$G$26)</f>
        <v>143840.18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0</v>
      </c>
      <c r="G36" s="94">
        <f>SUMIF($D$9:$D$26,$C$36,$G$9:$G$26)</f>
        <v>0</v>
      </c>
      <c r="H36" s="96">
        <f>F36-G36</f>
        <v>0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f>C33</f>
        <v>143840.18</v>
      </c>
      <c r="G37" s="94">
        <f>SUMIF($D$9:$D$26,$C$37,$G$9:$G$26)</f>
        <v>128708.19</v>
      </c>
      <c r="H37" s="96">
        <f t="shared" ref="H37:H44" si="0">F37-G37</f>
        <v>15131.989999999991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0</v>
      </c>
      <c r="G40" s="94">
        <f>SUMIF($D$9:$D$26,$C$40,$G$9:$G$26)</f>
        <v>0</v>
      </c>
      <c r="H40" s="96">
        <f t="shared" si="0"/>
        <v>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0"/>
        <v>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143840.18</v>
      </c>
      <c r="G45" s="92">
        <f>SUM(G36:G44)</f>
        <v>128708.19</v>
      </c>
      <c r="H45" s="97">
        <f>SUM(H36:H44)</f>
        <v>15131.989999999991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0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0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15131.989999999991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3782.9974999999977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20" priority="1" operator="lessThan">
      <formula>0</formula>
    </cfRule>
    <cfRule type="cellIs" dxfId="19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80722-DF52-49A0-AE1A-756A9D5A87EB}">
  <sheetPr>
    <pageSetUpPr fitToPage="1"/>
  </sheetPr>
  <dimension ref="B1:R55"/>
  <sheetViews>
    <sheetView zoomScale="55" zoomScaleNormal="55" workbookViewId="0">
      <selection activeCell="H24" sqref="H24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3" max="13" width="12.296875" customWidth="1"/>
    <col min="14" max="17" width="19.296875" customWidth="1"/>
    <col min="18" max="18" width="27.09765625" customWidth="1"/>
  </cols>
  <sheetData>
    <row r="1" spans="2:17" ht="22.2" x14ac:dyDescent="0.35">
      <c r="B1" s="14" t="s">
        <v>0</v>
      </c>
      <c r="C1" s="2" t="s">
        <v>493</v>
      </c>
      <c r="D1" s="2"/>
      <c r="E1" s="2"/>
      <c r="F1" s="3"/>
      <c r="G1" s="3"/>
      <c r="H1" s="146" t="s">
        <v>1</v>
      </c>
      <c r="I1" s="147">
        <v>45955</v>
      </c>
    </row>
    <row r="2" spans="2:17" ht="22.8" x14ac:dyDescent="0.55000000000000004">
      <c r="B2" s="4" t="s">
        <v>2</v>
      </c>
      <c r="C2" s="5" t="str">
        <f>'All Job balance report'!F12</f>
        <v>งานติดตั้งคอนโด The Line Vibe ห้อง549</v>
      </c>
      <c r="D2" s="5"/>
      <c r="E2" s="5"/>
      <c r="F2" s="3"/>
      <c r="G2" s="3"/>
      <c r="H2" s="146" t="s">
        <v>3</v>
      </c>
      <c r="I2" s="148"/>
      <c r="N2" s="155" t="s">
        <v>80</v>
      </c>
      <c r="O2" s="155" t="s">
        <v>81</v>
      </c>
      <c r="P2" s="155" t="s">
        <v>82</v>
      </c>
      <c r="Q2" s="155" t="s">
        <v>83</v>
      </c>
    </row>
    <row r="3" spans="2:17" ht="22.2" x14ac:dyDescent="0.55000000000000004">
      <c r="B3" s="4" t="s">
        <v>74</v>
      </c>
      <c r="C3" s="145" t="str">
        <f>C32</f>
        <v>JEP-2601/001</v>
      </c>
      <c r="D3" s="6"/>
      <c r="E3" s="6"/>
      <c r="F3" s="7"/>
      <c r="G3" s="7"/>
      <c r="H3" s="7"/>
      <c r="I3" s="7"/>
      <c r="M3" t="s">
        <v>84</v>
      </c>
      <c r="N3" t="s">
        <v>85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N4" t="s">
        <v>86</v>
      </c>
    </row>
    <row r="5" spans="2:17" ht="22.2" x14ac:dyDescent="0.55000000000000004">
      <c r="B5" s="4" t="s">
        <v>7</v>
      </c>
      <c r="C5" s="11">
        <f>C33</f>
        <v>12000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F45</f>
        <v>12800</v>
      </c>
      <c r="D6" s="12"/>
      <c r="E6" s="13"/>
      <c r="F6" s="10"/>
      <c r="G6" s="3"/>
      <c r="H6" s="7"/>
      <c r="I6" s="7"/>
      <c r="M6" t="s">
        <v>7</v>
      </c>
      <c r="N6" s="158">
        <v>2254569.98</v>
      </c>
      <c r="O6" s="149"/>
      <c r="P6" s="158">
        <v>397867.06</v>
      </c>
      <c r="Q6" s="158">
        <v>513604.21</v>
      </c>
    </row>
    <row r="7" spans="2:17" ht="22.2" x14ac:dyDescent="0.55000000000000004">
      <c r="B7" s="15" t="s">
        <v>9</v>
      </c>
      <c r="C7" s="16">
        <f>(C5-C6)/C5</f>
        <v>-6.6666666666666666E-2</v>
      </c>
      <c r="D7" s="15" t="s">
        <v>10</v>
      </c>
      <c r="E7" s="17">
        <v>1</v>
      </c>
      <c r="F7" s="18"/>
      <c r="G7" s="18"/>
      <c r="H7" s="18"/>
      <c r="I7" s="18"/>
      <c r="N7" s="158">
        <v>265430.02</v>
      </c>
      <c r="O7" s="149"/>
      <c r="P7" s="149"/>
      <c r="Q7" s="149"/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N8" s="149"/>
      <c r="O8" s="149"/>
      <c r="P8" s="149"/>
      <c r="Q8" s="149"/>
    </row>
    <row r="9" spans="2:17" ht="23.4" x14ac:dyDescent="0.6">
      <c r="B9" s="108">
        <v>1</v>
      </c>
      <c r="C9" s="54" t="s">
        <v>495</v>
      </c>
      <c r="D9" s="58">
        <v>10</v>
      </c>
      <c r="E9" s="54" t="s">
        <v>496</v>
      </c>
      <c r="F9" s="54"/>
      <c r="G9" s="487">
        <v>7995</v>
      </c>
      <c r="H9" s="59" t="s">
        <v>17</v>
      </c>
      <c r="I9" s="445">
        <v>46045</v>
      </c>
      <c r="J9" s="175"/>
      <c r="N9" s="149"/>
      <c r="O9" s="149"/>
      <c r="P9" s="149"/>
      <c r="Q9" s="149"/>
    </row>
    <row r="10" spans="2:17" ht="23.4" x14ac:dyDescent="0.6">
      <c r="B10" s="109">
        <v>2</v>
      </c>
      <c r="C10" s="54" t="s">
        <v>503</v>
      </c>
      <c r="D10" s="58">
        <v>20</v>
      </c>
      <c r="E10" s="54" t="s">
        <v>499</v>
      </c>
      <c r="F10" s="54"/>
      <c r="G10" s="487">
        <v>4800</v>
      </c>
      <c r="H10" s="59"/>
      <c r="I10" s="445"/>
      <c r="J10" s="176"/>
      <c r="N10" s="149"/>
      <c r="O10" s="149"/>
      <c r="P10" s="149"/>
      <c r="Q10" s="149"/>
    </row>
    <row r="11" spans="2:17" ht="23.4" x14ac:dyDescent="0.6">
      <c r="B11" s="108">
        <v>4</v>
      </c>
      <c r="C11" s="54" t="s">
        <v>504</v>
      </c>
      <c r="D11" s="58">
        <v>20</v>
      </c>
      <c r="E11" s="55" t="s">
        <v>500</v>
      </c>
      <c r="F11" s="54"/>
      <c r="G11" s="487">
        <v>2500</v>
      </c>
      <c r="H11" s="59"/>
      <c r="I11" s="445"/>
      <c r="J11" s="176"/>
      <c r="N11" s="149"/>
      <c r="O11" s="149"/>
      <c r="P11" s="149"/>
      <c r="Q11" s="149"/>
    </row>
    <row r="12" spans="2:17" ht="25.2" customHeight="1" x14ac:dyDescent="0.6">
      <c r="B12" s="109">
        <v>5</v>
      </c>
      <c r="C12" s="54" t="s">
        <v>495</v>
      </c>
      <c r="D12" s="58">
        <v>10</v>
      </c>
      <c r="E12" s="54" t="s">
        <v>501</v>
      </c>
      <c r="F12" s="55"/>
      <c r="G12" s="487">
        <v>2600</v>
      </c>
      <c r="H12" s="59"/>
      <c r="I12" s="445"/>
      <c r="J12" s="176"/>
    </row>
    <row r="13" spans="2:17" ht="25.2" customHeight="1" x14ac:dyDescent="0.6">
      <c r="B13" s="108">
        <v>7</v>
      </c>
      <c r="C13" s="54" t="s">
        <v>495</v>
      </c>
      <c r="D13" s="58">
        <v>10</v>
      </c>
      <c r="E13" s="54" t="s">
        <v>502</v>
      </c>
      <c r="F13" s="55"/>
      <c r="G13" s="71">
        <v>2300</v>
      </c>
      <c r="H13" s="59"/>
      <c r="I13" s="445"/>
      <c r="J13" s="176"/>
    </row>
    <row r="14" spans="2:17" ht="25.2" customHeight="1" x14ac:dyDescent="0.6">
      <c r="B14" s="108">
        <v>7</v>
      </c>
      <c r="C14" s="54" t="s">
        <v>505</v>
      </c>
      <c r="D14" s="447">
        <v>80</v>
      </c>
      <c r="E14" s="448" t="s">
        <v>498</v>
      </c>
      <c r="F14" s="456"/>
      <c r="G14" s="457">
        <v>8350</v>
      </c>
      <c r="H14" s="59"/>
      <c r="I14" s="445"/>
      <c r="J14" s="176"/>
    </row>
    <row r="15" spans="2:17" ht="25.2" customHeight="1" x14ac:dyDescent="0.6">
      <c r="B15" s="108">
        <v>7</v>
      </c>
      <c r="C15" s="55" t="s">
        <v>422</v>
      </c>
      <c r="D15" s="447">
        <v>10</v>
      </c>
      <c r="E15" s="448" t="s">
        <v>506</v>
      </c>
      <c r="F15" s="456"/>
      <c r="G15" s="457">
        <v>500</v>
      </c>
      <c r="H15" s="59"/>
      <c r="I15" s="445"/>
      <c r="J15" s="176"/>
    </row>
    <row r="16" spans="2:17" ht="25.2" customHeight="1" x14ac:dyDescent="0.6">
      <c r="B16" s="108">
        <v>7</v>
      </c>
      <c r="C16" s="55"/>
      <c r="D16" s="58">
        <v>10</v>
      </c>
      <c r="E16" s="55" t="s">
        <v>507</v>
      </c>
      <c r="F16" s="55"/>
      <c r="G16" s="71">
        <f>300+150</f>
        <v>450</v>
      </c>
      <c r="H16" s="59"/>
      <c r="I16" s="445"/>
      <c r="J16" s="176"/>
    </row>
    <row r="17" spans="2:17" ht="25.2" customHeight="1" x14ac:dyDescent="0.6">
      <c r="B17" s="108">
        <v>7</v>
      </c>
      <c r="C17" s="55" t="s">
        <v>508</v>
      </c>
      <c r="D17" s="58">
        <v>10</v>
      </c>
      <c r="E17" s="54" t="s">
        <v>509</v>
      </c>
      <c r="F17" s="55"/>
      <c r="G17" s="71">
        <v>300</v>
      </c>
      <c r="H17" s="59"/>
      <c r="I17" s="445"/>
      <c r="J17" s="176"/>
    </row>
    <row r="18" spans="2:17" ht="25.2" customHeight="1" x14ac:dyDescent="0.6">
      <c r="B18" s="109">
        <v>8</v>
      </c>
      <c r="C18" s="55"/>
      <c r="D18" s="449">
        <v>20</v>
      </c>
      <c r="E18" s="486" t="s">
        <v>627</v>
      </c>
      <c r="F18" s="488"/>
      <c r="G18" s="489">
        <v>12500</v>
      </c>
      <c r="H18" s="59"/>
      <c r="I18" s="445"/>
      <c r="J18" s="176"/>
    </row>
    <row r="19" spans="2:17" ht="25.2" customHeight="1" x14ac:dyDescent="0.6">
      <c r="B19" s="108">
        <v>9</v>
      </c>
      <c r="C19" s="55"/>
      <c r="D19" s="58">
        <v>60</v>
      </c>
      <c r="E19" s="54" t="s">
        <v>262</v>
      </c>
      <c r="F19" s="54"/>
      <c r="G19" s="71">
        <v>4000</v>
      </c>
      <c r="H19" s="59"/>
      <c r="I19" s="445"/>
      <c r="J19" s="176"/>
    </row>
    <row r="20" spans="2:17" ht="25.2" customHeight="1" x14ac:dyDescent="0.6">
      <c r="B20" s="108">
        <v>6</v>
      </c>
      <c r="C20" s="54"/>
      <c r="D20" s="447"/>
      <c r="E20" s="448"/>
      <c r="F20" s="456"/>
      <c r="G20" s="457"/>
      <c r="H20" s="59"/>
      <c r="I20" s="473"/>
      <c r="J20" s="176"/>
    </row>
    <row r="21" spans="2:17" ht="23.4" x14ac:dyDescent="0.6">
      <c r="B21" s="108">
        <v>3</v>
      </c>
      <c r="C21" s="54"/>
      <c r="D21" s="58"/>
      <c r="E21" s="54"/>
      <c r="F21" s="54"/>
      <c r="G21" s="71"/>
      <c r="H21" s="59"/>
      <c r="I21" s="445"/>
      <c r="J21" s="176"/>
      <c r="N21" s="149"/>
      <c r="O21" s="149"/>
      <c r="P21" s="149"/>
      <c r="Q21" s="149"/>
    </row>
    <row r="22" spans="2:17" ht="25.2" customHeight="1" x14ac:dyDescent="0.6">
      <c r="B22" s="108">
        <v>10</v>
      </c>
      <c r="C22" s="55"/>
      <c r="D22" s="58"/>
      <c r="E22" s="54"/>
      <c r="F22" s="54"/>
      <c r="G22" s="71"/>
      <c r="H22" s="59"/>
      <c r="I22" s="445"/>
      <c r="J22" s="176"/>
    </row>
    <row r="23" spans="2:17" ht="25.2" customHeight="1" x14ac:dyDescent="0.6">
      <c r="B23" s="109">
        <v>11</v>
      </c>
      <c r="C23" s="54"/>
      <c r="D23" s="58"/>
      <c r="E23" s="54"/>
      <c r="F23" s="54"/>
      <c r="G23" s="71"/>
      <c r="H23" s="59"/>
      <c r="I23" s="445"/>
      <c r="J23" s="176"/>
    </row>
    <row r="24" spans="2:17" ht="25.2" customHeight="1" x14ac:dyDescent="0.6">
      <c r="B24" s="109">
        <v>12</v>
      </c>
      <c r="C24" s="55"/>
      <c r="D24" s="58"/>
      <c r="E24" s="54"/>
      <c r="F24" s="54"/>
      <c r="G24" s="71"/>
      <c r="H24" s="59"/>
      <c r="I24" s="445"/>
      <c r="J24" s="175"/>
    </row>
    <row r="25" spans="2:17" ht="25.2" customHeight="1" x14ac:dyDescent="0.6">
      <c r="B25" s="109">
        <v>13</v>
      </c>
      <c r="C25" s="55"/>
      <c r="D25" s="447">
        <v>20</v>
      </c>
      <c r="E25" s="448" t="s">
        <v>497</v>
      </c>
      <c r="F25" s="456"/>
      <c r="G25" s="457">
        <v>12060</v>
      </c>
      <c r="H25" s="59"/>
      <c r="I25" s="445"/>
      <c r="J25" s="175"/>
    </row>
    <row r="26" spans="2:17" ht="25.2" customHeight="1" x14ac:dyDescent="0.6">
      <c r="B26" s="109">
        <v>14</v>
      </c>
      <c r="C26" s="55"/>
      <c r="D26" s="58"/>
      <c r="E26" s="54"/>
      <c r="F26" s="54"/>
      <c r="G26" s="71"/>
      <c r="H26" s="59"/>
      <c r="I26" s="445"/>
      <c r="J26" s="175"/>
    </row>
    <row r="27" spans="2:17" ht="18" x14ac:dyDescent="0.45">
      <c r="B27" s="7"/>
      <c r="C27" s="12"/>
      <c r="D27" s="9"/>
      <c r="E27" s="9"/>
      <c r="F27" s="32" t="s">
        <v>18</v>
      </c>
      <c r="G27" s="33">
        <f>SUM(G9:G26)</f>
        <v>58355</v>
      </c>
      <c r="H27" s="12"/>
      <c r="I27" s="7"/>
    </row>
    <row r="28" spans="2:17" ht="18" x14ac:dyDescent="0.45">
      <c r="B28" s="7"/>
      <c r="C28" s="12"/>
      <c r="D28" s="9"/>
      <c r="E28" s="9"/>
      <c r="F28" s="34" t="s">
        <v>19</v>
      </c>
      <c r="G28" s="35">
        <f>$C$6-G27</f>
        <v>-45555</v>
      </c>
      <c r="H28" s="12"/>
      <c r="I28" s="7"/>
    </row>
    <row r="29" spans="2:17" ht="18" x14ac:dyDescent="0.45">
      <c r="B29" s="7"/>
      <c r="C29" s="12"/>
      <c r="D29" s="9"/>
      <c r="E29" s="9"/>
      <c r="F29" s="12"/>
      <c r="G29" s="12"/>
      <c r="H29" s="12"/>
      <c r="I29" s="7"/>
    </row>
    <row r="30" spans="2:17" ht="18" x14ac:dyDescent="0.45">
      <c r="B30" s="7"/>
      <c r="C30" s="12"/>
      <c r="D30" s="9"/>
      <c r="E30" s="9"/>
      <c r="F30" s="36" t="s">
        <v>20</v>
      </c>
      <c r="G30" s="37">
        <f>G28/C6</f>
        <v>-3.5589843750000001</v>
      </c>
      <c r="H30" s="38"/>
      <c r="I30" s="7"/>
    </row>
    <row r="31" spans="2:17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7" ht="26.4" x14ac:dyDescent="0.55000000000000004">
      <c r="B32" s="143" t="s">
        <v>79</v>
      </c>
      <c r="C32" s="144" t="str">
        <f>'All Job balance report'!B12</f>
        <v>JEP-2601/001</v>
      </c>
      <c r="D32" s="12"/>
      <c r="E32" s="13"/>
      <c r="F32" s="10"/>
      <c r="G32" s="3"/>
      <c r="H32" s="7"/>
      <c r="I32" s="7"/>
    </row>
    <row r="33" spans="2:18" ht="25.2" customHeight="1" x14ac:dyDescent="0.5">
      <c r="B33" s="82" t="s">
        <v>7</v>
      </c>
      <c r="C33" s="94">
        <f>'All Job balance report'!G12</f>
        <v>12000</v>
      </c>
      <c r="D33" s="15">
        <v>0</v>
      </c>
      <c r="E33" s="17"/>
      <c r="F33" s="18"/>
      <c r="G33" s="18"/>
      <c r="H33" s="18"/>
      <c r="I33" s="18"/>
    </row>
    <row r="34" spans="2:18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18" ht="20.399999999999999" x14ac:dyDescent="0.35">
      <c r="B35" s="558"/>
      <c r="C35" s="558"/>
      <c r="D35" s="560"/>
      <c r="E35" s="555"/>
      <c r="F35" s="555"/>
      <c r="G35" s="555"/>
      <c r="H35" s="555"/>
      <c r="I35" s="555"/>
      <c r="N35" s="156" t="s">
        <v>80</v>
      </c>
      <c r="O35" s="156" t="s">
        <v>81</v>
      </c>
      <c r="P35" s="156" t="s">
        <v>82</v>
      </c>
      <c r="Q35" s="156" t="s">
        <v>83</v>
      </c>
    </row>
    <row r="36" spans="2:18" ht="20.399999999999999" x14ac:dyDescent="0.3">
      <c r="B36" s="73">
        <v>1</v>
      </c>
      <c r="C36" s="77">
        <v>10</v>
      </c>
      <c r="D36" s="77"/>
      <c r="E36" s="83" t="s">
        <v>25</v>
      </c>
      <c r="F36" s="100">
        <v>12800</v>
      </c>
      <c r="G36" s="94">
        <f>SUMIF($D$9:$D$26,$C$36,$G$9:$G$26)</f>
        <v>14145</v>
      </c>
      <c r="H36" s="96">
        <f>F36-G36</f>
        <v>-1345</v>
      </c>
      <c r="I36" s="84"/>
      <c r="N36" s="150">
        <f>1391385.86+550222.39</f>
        <v>1941608.25</v>
      </c>
      <c r="O36" s="157">
        <v>187326.21</v>
      </c>
      <c r="P36" s="154">
        <v>171283.81</v>
      </c>
      <c r="Q36" s="154">
        <v>229202.12</v>
      </c>
      <c r="R36" s="151">
        <f t="shared" ref="R36:R45" si="0">SUM(N36:Q36)</f>
        <v>2529420.39</v>
      </c>
    </row>
    <row r="37" spans="2:18" ht="20.399999999999999" x14ac:dyDescent="0.3">
      <c r="B37" s="74">
        <v>2</v>
      </c>
      <c r="C37" s="80">
        <v>20</v>
      </c>
      <c r="D37" s="80"/>
      <c r="E37" s="83" t="s">
        <v>26</v>
      </c>
      <c r="F37" s="100">
        <v>0</v>
      </c>
      <c r="G37" s="94">
        <f>SUMIF($D$9:$D$26,$C$37,$G$9:$G$26)</f>
        <v>31860</v>
      </c>
      <c r="H37" s="96">
        <f t="shared" ref="H37:H44" si="1">F37-G37</f>
        <v>-31860</v>
      </c>
      <c r="I37" s="84"/>
      <c r="N37" s="150">
        <f>125499.72+40000-N40</f>
        <v>100499.72</v>
      </c>
      <c r="O37" s="157">
        <f>129657.59-O40</f>
        <v>79657.59</v>
      </c>
      <c r="P37" s="154">
        <f>119025.22-P40</f>
        <v>69025.22</v>
      </c>
      <c r="Q37" s="154">
        <f>145843.83-Q40</f>
        <v>115843.82999999999</v>
      </c>
      <c r="R37" s="151">
        <f t="shared" si="0"/>
        <v>365026.36</v>
      </c>
    </row>
    <row r="38" spans="2:18" ht="20.399999999999999" x14ac:dyDescent="0.3">
      <c r="B38" s="75">
        <v>3</v>
      </c>
      <c r="C38" s="80">
        <v>30</v>
      </c>
      <c r="D38" s="80"/>
      <c r="E38" s="83" t="s">
        <v>48</v>
      </c>
      <c r="F38" s="100">
        <f t="shared" ref="F38:F42" si="2">R38</f>
        <v>0</v>
      </c>
      <c r="G38" s="94">
        <f>SUMIF($D$9:$D$26,$C$38,$G$9:$G$26)</f>
        <v>0</v>
      </c>
      <c r="H38" s="96">
        <f t="shared" si="1"/>
        <v>0</v>
      </c>
      <c r="I38" s="81"/>
      <c r="N38" s="150"/>
      <c r="O38" s="157"/>
      <c r="P38" s="154"/>
      <c r="Q38" s="154"/>
      <c r="R38" s="151">
        <f t="shared" si="0"/>
        <v>0</v>
      </c>
    </row>
    <row r="39" spans="2:18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1"/>
        <v>0</v>
      </c>
      <c r="I39" s="81"/>
      <c r="N39" s="150"/>
      <c r="O39" s="157"/>
      <c r="P39" s="154"/>
      <c r="Q39" s="154"/>
      <c r="R39" s="151">
        <f t="shared" si="0"/>
        <v>0</v>
      </c>
    </row>
    <row r="40" spans="2:18" ht="20.399999999999999" x14ac:dyDescent="0.3">
      <c r="B40" s="75">
        <v>5</v>
      </c>
      <c r="C40" s="80">
        <v>50</v>
      </c>
      <c r="D40" s="80"/>
      <c r="E40" s="83" t="s">
        <v>47</v>
      </c>
      <c r="F40" s="100">
        <v>0</v>
      </c>
      <c r="G40" s="94">
        <f>SUMIF($D$9:$D$26,$C$40,$G$9:$G$26)</f>
        <v>0</v>
      </c>
      <c r="H40" s="96">
        <f t="shared" si="1"/>
        <v>0</v>
      </c>
      <c r="I40" s="81"/>
      <c r="N40" s="150">
        <v>65000</v>
      </c>
      <c r="O40" s="157">
        <v>50000</v>
      </c>
      <c r="P40" s="154">
        <v>50000</v>
      </c>
      <c r="Q40" s="154">
        <v>30000</v>
      </c>
      <c r="R40" s="151">
        <f t="shared" si="0"/>
        <v>195000</v>
      </c>
    </row>
    <row r="41" spans="2:18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4000</v>
      </c>
      <c r="H41" s="96">
        <f t="shared" si="1"/>
        <v>-4000</v>
      </c>
      <c r="I41" s="81"/>
      <c r="N41" s="150"/>
      <c r="O41" s="150"/>
      <c r="P41" s="150"/>
      <c r="Q41" s="150"/>
      <c r="R41" s="151">
        <f t="shared" si="0"/>
        <v>0</v>
      </c>
    </row>
    <row r="42" spans="2:18" ht="20.399999999999999" x14ac:dyDescent="0.3">
      <c r="B42" s="76">
        <v>7</v>
      </c>
      <c r="C42" s="80">
        <v>70</v>
      </c>
      <c r="D42" s="80"/>
      <c r="E42" s="83" t="s">
        <v>52</v>
      </c>
      <c r="F42" s="100">
        <f t="shared" si="2"/>
        <v>0</v>
      </c>
      <c r="G42" s="94">
        <f>SUMIF($D$9:$D$26,$C$42,$G$9:$G$26)</f>
        <v>0</v>
      </c>
      <c r="H42" s="96">
        <f t="shared" si="1"/>
        <v>0</v>
      </c>
      <c r="I42" s="81"/>
      <c r="N42" s="150"/>
      <c r="O42" s="150"/>
      <c r="P42" s="150"/>
      <c r="Q42" s="150"/>
      <c r="R42" s="151">
        <f t="shared" si="0"/>
        <v>0</v>
      </c>
    </row>
    <row r="43" spans="2:18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8350</v>
      </c>
      <c r="H43" s="96">
        <f t="shared" si="1"/>
        <v>-8350</v>
      </c>
      <c r="I43" s="81"/>
      <c r="N43" s="150"/>
      <c r="O43" s="150"/>
      <c r="P43" s="150"/>
      <c r="Q43" s="150"/>
      <c r="R43" s="151">
        <f t="shared" ref="R43" si="3">SUM(N43:Q43)</f>
        <v>0</v>
      </c>
    </row>
    <row r="44" spans="2:18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1"/>
        <v>0</v>
      </c>
      <c r="I44" s="81"/>
      <c r="N44" s="150"/>
      <c r="O44" s="150"/>
      <c r="P44" s="150"/>
      <c r="Q44" s="150"/>
      <c r="R44" s="151">
        <f t="shared" si="0"/>
        <v>0</v>
      </c>
    </row>
    <row r="45" spans="2:18" ht="20.399999999999999" x14ac:dyDescent="0.35">
      <c r="B45" s="89"/>
      <c r="C45" s="90"/>
      <c r="D45" s="90"/>
      <c r="E45" s="91" t="s">
        <v>59</v>
      </c>
      <c r="F45" s="92">
        <f>SUM(F36:F44)</f>
        <v>12800</v>
      </c>
      <c r="G45" s="92">
        <f>SUM(G36:G44)</f>
        <v>58355</v>
      </c>
      <c r="H45" s="97">
        <f>SUM(H36:H44)</f>
        <v>-45555</v>
      </c>
      <c r="I45" s="93"/>
      <c r="N45" s="150"/>
      <c r="O45" s="150"/>
      <c r="P45" s="150"/>
      <c r="Q45" s="150"/>
      <c r="R45" s="151">
        <f t="shared" si="0"/>
        <v>0</v>
      </c>
    </row>
    <row r="46" spans="2:18" ht="20.399999999999999" x14ac:dyDescent="0.35">
      <c r="B46" s="89"/>
      <c r="C46" s="90"/>
      <c r="D46" s="90"/>
      <c r="E46" s="91" t="s">
        <v>60</v>
      </c>
      <c r="F46" s="88">
        <f>((C33-F45)/C33)</f>
        <v>-6.6666666666666666E-2</v>
      </c>
      <c r="G46" s="88"/>
      <c r="H46" s="93"/>
      <c r="I46" s="93"/>
    </row>
    <row r="47" spans="2:18" ht="21" thickBot="1" x14ac:dyDescent="0.4">
      <c r="B47" s="89"/>
      <c r="C47" s="90"/>
      <c r="D47" s="90"/>
      <c r="E47" s="91" t="s">
        <v>58</v>
      </c>
      <c r="F47" s="92">
        <f>F46*C33</f>
        <v>-800</v>
      </c>
      <c r="G47" s="92"/>
      <c r="H47" s="93"/>
      <c r="I47" s="93"/>
      <c r="N47" s="153">
        <f>SUM(N36:N46)</f>
        <v>2107107.9699999997</v>
      </c>
      <c r="O47" s="153">
        <f t="shared" ref="O47:Q47" si="4">SUM(O36:O46)</f>
        <v>316983.8</v>
      </c>
      <c r="P47" s="153">
        <f t="shared" si="4"/>
        <v>290309.03000000003</v>
      </c>
      <c r="Q47" s="153">
        <f t="shared" si="4"/>
        <v>375045.94999999995</v>
      </c>
      <c r="R47" s="151">
        <f>SUM(N47:Q47)</f>
        <v>3089446.75</v>
      </c>
    </row>
    <row r="48" spans="2:18" ht="22.8" thickTop="1" x14ac:dyDescent="0.35">
      <c r="B48" s="41"/>
      <c r="C48" s="40"/>
      <c r="D48" s="40"/>
      <c r="E48" s="91" t="s">
        <v>68</v>
      </c>
      <c r="F48" s="194">
        <f>C33-G45</f>
        <v>-46355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27.6" customHeight="1" x14ac:dyDescent="0.35">
      <c r="B50" s="41"/>
      <c r="C50" s="40"/>
      <c r="D50" s="40"/>
      <c r="E50" s="475" t="s">
        <v>423</v>
      </c>
      <c r="F50" s="476">
        <f>F48*0.25</f>
        <v>-11588.75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18" priority="1" operator="lessThan">
      <formula>0</formula>
    </cfRule>
    <cfRule type="cellIs" dxfId="17" priority="2" operator="greaterThan">
      <formula>0</formula>
    </cfRule>
  </conditionalFormatting>
  <pageMargins left="0.7" right="0.7" top="0.75" bottom="0.75" header="0.3" footer="0.3"/>
  <pageSetup paperSize="9" scale="30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E335-2AFD-4007-9BCA-831FFCD58FA5}">
  <sheetPr>
    <tabColor rgb="FF00B050"/>
    <pageSetUpPr fitToPage="1"/>
  </sheetPr>
  <dimension ref="B1:R53"/>
  <sheetViews>
    <sheetView zoomScale="55" zoomScaleNormal="55" workbookViewId="0">
      <selection activeCell="K17" sqref="K17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3" max="13" width="12.296875" customWidth="1"/>
    <col min="14" max="17" width="19.296875" customWidth="1"/>
    <col min="18" max="18" width="27.09765625" customWidth="1"/>
  </cols>
  <sheetData>
    <row r="1" spans="2:17" ht="22.2" x14ac:dyDescent="0.35">
      <c r="B1" s="14" t="s">
        <v>0</v>
      </c>
      <c r="C1" s="2" t="str">
        <f>'All Job balance report'!D5</f>
        <v>PK Engineering Solution Service Co., Ltd.</v>
      </c>
      <c r="D1" s="2"/>
      <c r="E1" s="2"/>
      <c r="F1" s="3"/>
      <c r="G1" s="3"/>
      <c r="H1" s="146" t="s">
        <v>1</v>
      </c>
      <c r="I1" s="147">
        <v>45934</v>
      </c>
    </row>
    <row r="2" spans="2:17" ht="22.8" x14ac:dyDescent="0.55000000000000004">
      <c r="B2" s="4" t="s">
        <v>2</v>
      </c>
      <c r="C2" s="5" t="str">
        <f>'All Job balance report'!F9</f>
        <v>งานติดตั้งพัดลมระบายอากาศ</v>
      </c>
      <c r="D2" s="5"/>
      <c r="E2" s="5"/>
      <c r="F2" s="3"/>
      <c r="G2" s="3"/>
      <c r="H2" s="146" t="s">
        <v>3</v>
      </c>
      <c r="I2" s="148"/>
      <c r="N2" s="155" t="s">
        <v>80</v>
      </c>
      <c r="O2" s="155" t="s">
        <v>81</v>
      </c>
      <c r="P2" s="155" t="s">
        <v>82</v>
      </c>
      <c r="Q2" s="155" t="s">
        <v>83</v>
      </c>
    </row>
    <row r="3" spans="2:17" ht="22.2" x14ac:dyDescent="0.55000000000000004">
      <c r="B3" s="4" t="s">
        <v>74</v>
      </c>
      <c r="C3" s="145" t="str">
        <f>C30</f>
        <v>PEK-2500/002</v>
      </c>
      <c r="D3" s="6"/>
      <c r="E3" s="6"/>
      <c r="F3" s="7"/>
      <c r="G3" s="7"/>
      <c r="H3" s="7"/>
      <c r="I3" s="7"/>
      <c r="M3" t="s">
        <v>84</v>
      </c>
      <c r="N3" t="s">
        <v>85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N4" t="s">
        <v>86</v>
      </c>
    </row>
    <row r="5" spans="2:17" ht="22.2" x14ac:dyDescent="0.55000000000000004">
      <c r="B5" s="4" t="s">
        <v>7</v>
      </c>
      <c r="C5" s="11">
        <f>C31</f>
        <v>7000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F43</f>
        <v>4400</v>
      </c>
      <c r="D6" s="12"/>
      <c r="E6" s="13"/>
      <c r="F6" s="10"/>
      <c r="G6" s="3"/>
      <c r="H6" s="7"/>
      <c r="I6" s="7"/>
      <c r="M6" t="s">
        <v>7</v>
      </c>
      <c r="N6" s="158">
        <v>2254569.98</v>
      </c>
      <c r="O6" s="149"/>
      <c r="P6" s="158">
        <v>397867.06</v>
      </c>
      <c r="Q6" s="158">
        <v>513604.21</v>
      </c>
    </row>
    <row r="7" spans="2:17" ht="22.2" x14ac:dyDescent="0.55000000000000004">
      <c r="B7" s="15" t="s">
        <v>9</v>
      </c>
      <c r="C7" s="16">
        <f>(C5-C6)/C5</f>
        <v>0.37142857142857144</v>
      </c>
      <c r="D7" s="15" t="s">
        <v>10</v>
      </c>
      <c r="E7" s="17">
        <v>1</v>
      </c>
      <c r="F7" s="18"/>
      <c r="G7" s="18"/>
      <c r="H7" s="18"/>
      <c r="I7" s="18"/>
      <c r="N7" s="158">
        <v>265430.02</v>
      </c>
      <c r="O7" s="149"/>
      <c r="P7" s="149"/>
      <c r="Q7" s="149"/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N8" s="149"/>
      <c r="O8" s="149"/>
      <c r="P8" s="149"/>
      <c r="Q8" s="149"/>
    </row>
    <row r="9" spans="2:17" ht="23.4" x14ac:dyDescent="0.6">
      <c r="B9" s="108">
        <v>1</v>
      </c>
      <c r="C9" s="54" t="s">
        <v>117</v>
      </c>
      <c r="D9" s="58">
        <v>10</v>
      </c>
      <c r="E9" s="54" t="s">
        <v>440</v>
      </c>
      <c r="F9" s="54"/>
      <c r="G9" s="71">
        <v>737</v>
      </c>
      <c r="H9" s="59" t="s">
        <v>17</v>
      </c>
      <c r="I9" s="445">
        <v>46017</v>
      </c>
      <c r="J9" s="454" t="s">
        <v>366</v>
      </c>
      <c r="N9" s="149"/>
      <c r="O9" s="149"/>
      <c r="P9" s="149"/>
      <c r="Q9" s="149"/>
    </row>
    <row r="10" spans="2:17" ht="23.4" x14ac:dyDescent="0.6">
      <c r="B10" s="109">
        <v>2</v>
      </c>
      <c r="C10" s="55" t="s">
        <v>355</v>
      </c>
      <c r="D10" s="58">
        <v>10</v>
      </c>
      <c r="E10" s="55" t="s">
        <v>441</v>
      </c>
      <c r="F10" s="55"/>
      <c r="G10" s="71">
        <v>33</v>
      </c>
      <c r="H10" s="59" t="s">
        <v>17</v>
      </c>
      <c r="I10" s="445">
        <v>46017</v>
      </c>
      <c r="J10" s="454" t="s">
        <v>366</v>
      </c>
      <c r="N10" s="149"/>
      <c r="O10" s="149"/>
      <c r="P10" s="149"/>
      <c r="Q10" s="149"/>
    </row>
    <row r="11" spans="2:17" ht="23.4" x14ac:dyDescent="0.6">
      <c r="B11" s="108">
        <v>3</v>
      </c>
      <c r="C11" s="55"/>
      <c r="D11" s="58">
        <v>10</v>
      </c>
      <c r="E11" s="55" t="s">
        <v>442</v>
      </c>
      <c r="F11" s="55"/>
      <c r="G11" s="71">
        <v>19</v>
      </c>
      <c r="H11" s="59" t="s">
        <v>17</v>
      </c>
      <c r="I11" s="445">
        <v>46017</v>
      </c>
      <c r="J11" s="454" t="s">
        <v>366</v>
      </c>
      <c r="N11" s="149"/>
      <c r="O11" s="149"/>
      <c r="P11" s="149"/>
      <c r="Q11" s="149"/>
    </row>
    <row r="12" spans="2:17" ht="23.4" x14ac:dyDescent="0.6">
      <c r="B12" s="109">
        <v>4</v>
      </c>
      <c r="C12" s="55"/>
      <c r="D12" s="58">
        <v>10</v>
      </c>
      <c r="E12" s="54" t="s">
        <v>443</v>
      </c>
      <c r="F12" s="54"/>
      <c r="G12" s="56">
        <v>9</v>
      </c>
      <c r="H12" s="59" t="s">
        <v>17</v>
      </c>
      <c r="I12" s="445">
        <v>46017</v>
      </c>
      <c r="J12" s="454" t="s">
        <v>366</v>
      </c>
      <c r="N12" s="149"/>
      <c r="O12" s="149"/>
      <c r="P12" s="149"/>
      <c r="Q12" s="149"/>
    </row>
    <row r="13" spans="2:17" ht="25.2" customHeight="1" x14ac:dyDescent="0.6">
      <c r="B13" s="108">
        <v>5</v>
      </c>
      <c r="C13" s="55"/>
      <c r="D13" s="58">
        <v>10</v>
      </c>
      <c r="E13" s="54" t="s">
        <v>444</v>
      </c>
      <c r="F13" s="54"/>
      <c r="G13" s="56">
        <f>10*6</f>
        <v>60</v>
      </c>
      <c r="H13" s="59" t="s">
        <v>17</v>
      </c>
      <c r="I13" s="445">
        <v>46017</v>
      </c>
      <c r="J13" s="454" t="s">
        <v>366</v>
      </c>
    </row>
    <row r="14" spans="2:17" ht="25.2" customHeight="1" x14ac:dyDescent="0.6">
      <c r="B14" s="109">
        <v>6</v>
      </c>
      <c r="C14" s="55"/>
      <c r="D14" s="58">
        <v>10</v>
      </c>
      <c r="E14" s="54" t="s">
        <v>445</v>
      </c>
      <c r="F14" s="54"/>
      <c r="G14" s="56">
        <v>476</v>
      </c>
      <c r="H14" s="59" t="s">
        <v>17</v>
      </c>
      <c r="I14" s="445">
        <v>46017</v>
      </c>
      <c r="J14" s="454" t="s">
        <v>366</v>
      </c>
      <c r="L14">
        <v>476</v>
      </c>
      <c r="M14">
        <v>7.0000000000000007E-2</v>
      </c>
      <c r="N14">
        <f>M14*L14</f>
        <v>33.32</v>
      </c>
    </row>
    <row r="15" spans="2:17" ht="25.2" customHeight="1" x14ac:dyDescent="0.6">
      <c r="B15" s="108">
        <v>7</v>
      </c>
      <c r="C15" s="55"/>
      <c r="D15" s="58">
        <v>10</v>
      </c>
      <c r="E15" s="54" t="s">
        <v>446</v>
      </c>
      <c r="F15" s="55"/>
      <c r="G15" s="56">
        <v>124</v>
      </c>
      <c r="H15" s="59" t="s">
        <v>17</v>
      </c>
      <c r="I15" s="445">
        <v>46017</v>
      </c>
      <c r="J15" s="454" t="s">
        <v>366</v>
      </c>
    </row>
    <row r="16" spans="2:17" ht="25.2" customHeight="1" x14ac:dyDescent="0.6">
      <c r="B16" s="109">
        <v>8</v>
      </c>
      <c r="C16" s="55"/>
      <c r="D16" s="58">
        <v>10</v>
      </c>
      <c r="E16" s="54" t="s">
        <v>447</v>
      </c>
      <c r="F16" s="55"/>
      <c r="G16" s="56">
        <v>71</v>
      </c>
      <c r="H16" s="59" t="s">
        <v>17</v>
      </c>
      <c r="I16" s="445">
        <v>46017</v>
      </c>
      <c r="J16" s="454" t="s">
        <v>366</v>
      </c>
    </row>
    <row r="17" spans="2:10" ht="25.2" customHeight="1" x14ac:dyDescent="0.6">
      <c r="B17" s="108">
        <v>9</v>
      </c>
      <c r="C17" s="55"/>
      <c r="D17" s="58">
        <v>10</v>
      </c>
      <c r="E17" s="54" t="s">
        <v>448</v>
      </c>
      <c r="F17" s="55"/>
      <c r="G17" s="56">
        <v>29</v>
      </c>
      <c r="H17" s="59" t="s">
        <v>17</v>
      </c>
      <c r="I17" s="445">
        <v>46017</v>
      </c>
      <c r="J17" s="454" t="s">
        <v>366</v>
      </c>
    </row>
    <row r="18" spans="2:10" ht="25.2" customHeight="1" x14ac:dyDescent="0.6">
      <c r="B18" s="109">
        <v>10</v>
      </c>
      <c r="C18" s="55"/>
      <c r="D18" s="449">
        <v>10</v>
      </c>
      <c r="E18" s="486" t="s">
        <v>449</v>
      </c>
      <c r="F18" s="55"/>
      <c r="G18" s="56">
        <f>116+28+18</f>
        <v>162</v>
      </c>
      <c r="H18" s="59" t="s">
        <v>17</v>
      </c>
      <c r="I18" s="445">
        <v>46017</v>
      </c>
      <c r="J18" s="454" t="s">
        <v>366</v>
      </c>
    </row>
    <row r="19" spans="2:10" ht="25.2" customHeight="1" x14ac:dyDescent="0.6">
      <c r="B19" s="108">
        <v>11</v>
      </c>
      <c r="C19" s="28"/>
      <c r="D19" s="449">
        <v>50</v>
      </c>
      <c r="E19" s="486" t="s">
        <v>262</v>
      </c>
      <c r="F19" s="101"/>
      <c r="G19" s="56">
        <v>500</v>
      </c>
      <c r="H19" s="59" t="s">
        <v>17</v>
      </c>
      <c r="I19" s="445">
        <v>46017</v>
      </c>
      <c r="J19" s="454" t="s">
        <v>366</v>
      </c>
    </row>
    <row r="20" spans="2:10" ht="25.2" customHeight="1" x14ac:dyDescent="0.6">
      <c r="B20" s="109">
        <v>12</v>
      </c>
      <c r="C20" s="28"/>
      <c r="D20" s="449">
        <v>20</v>
      </c>
      <c r="E20" s="54" t="s">
        <v>450</v>
      </c>
      <c r="F20" s="101"/>
      <c r="G20" s="56">
        <v>900</v>
      </c>
      <c r="H20" s="59" t="s">
        <v>17</v>
      </c>
      <c r="I20" s="445">
        <v>46017</v>
      </c>
      <c r="J20" s="454" t="s">
        <v>366</v>
      </c>
    </row>
    <row r="21" spans="2:10" ht="25.2" customHeight="1" x14ac:dyDescent="0.6">
      <c r="B21" s="108">
        <v>13</v>
      </c>
      <c r="C21" s="28"/>
      <c r="D21" s="449">
        <v>50</v>
      </c>
      <c r="E21" s="54" t="s">
        <v>451</v>
      </c>
      <c r="F21" s="101"/>
      <c r="G21" s="56">
        <f>246+27+27+123</f>
        <v>423</v>
      </c>
      <c r="H21" s="59" t="s">
        <v>17</v>
      </c>
      <c r="I21" s="445">
        <v>46017</v>
      </c>
      <c r="J21" s="454" t="s">
        <v>366</v>
      </c>
    </row>
    <row r="22" spans="2:10" ht="25.2" customHeight="1" x14ac:dyDescent="0.6">
      <c r="B22" s="109">
        <v>14</v>
      </c>
      <c r="C22" s="28"/>
      <c r="D22" s="449"/>
      <c r="E22" s="54"/>
      <c r="F22" s="101"/>
      <c r="G22" s="56"/>
      <c r="H22" s="59"/>
      <c r="I22" s="445"/>
      <c r="J22" s="175"/>
    </row>
    <row r="23" spans="2:10" ht="25.2" customHeight="1" x14ac:dyDescent="0.6">
      <c r="B23" s="108">
        <v>15</v>
      </c>
      <c r="C23" s="28"/>
      <c r="D23" s="449"/>
      <c r="E23" s="54"/>
      <c r="F23" s="101"/>
      <c r="G23" s="56"/>
      <c r="H23" s="59"/>
      <c r="I23" s="445"/>
      <c r="J23" s="175"/>
    </row>
    <row r="24" spans="2:10" ht="25.2" customHeight="1" x14ac:dyDescent="0.6">
      <c r="B24" s="109">
        <v>16</v>
      </c>
      <c r="C24" s="28"/>
      <c r="D24" s="449"/>
      <c r="E24" s="54"/>
      <c r="F24" s="101"/>
      <c r="G24" s="56"/>
      <c r="H24" s="59"/>
      <c r="I24" s="445"/>
      <c r="J24" s="175"/>
    </row>
    <row r="25" spans="2:10" ht="18" x14ac:dyDescent="0.45">
      <c r="B25" s="7"/>
      <c r="C25" s="12"/>
      <c r="D25" s="9"/>
      <c r="E25" s="9"/>
      <c r="F25" s="32" t="s">
        <v>18</v>
      </c>
      <c r="G25" s="33">
        <f>SUM(G9:G24)</f>
        <v>3543</v>
      </c>
      <c r="H25" s="12"/>
      <c r="I25" s="7"/>
    </row>
    <row r="26" spans="2:10" ht="18" x14ac:dyDescent="0.45">
      <c r="B26" s="7"/>
      <c r="C26" s="12"/>
      <c r="D26" s="9"/>
      <c r="E26" s="9"/>
      <c r="F26" s="34" t="s">
        <v>19</v>
      </c>
      <c r="G26" s="35">
        <f>$C$6-G25</f>
        <v>857</v>
      </c>
      <c r="H26" s="12"/>
      <c r="I26" s="7"/>
    </row>
    <row r="27" spans="2:10" ht="18" x14ac:dyDescent="0.45">
      <c r="B27" s="7"/>
      <c r="C27" s="12"/>
      <c r="D27" s="9"/>
      <c r="E27" s="9"/>
      <c r="F27" s="12"/>
      <c r="G27" s="12"/>
      <c r="H27" s="12"/>
      <c r="I27" s="7"/>
    </row>
    <row r="28" spans="2:10" ht="18" x14ac:dyDescent="0.45">
      <c r="B28" s="7"/>
      <c r="C28" s="12"/>
      <c r="D28" s="9"/>
      <c r="E28" s="9"/>
      <c r="F28" s="36" t="s">
        <v>20</v>
      </c>
      <c r="G28" s="37">
        <f>G26/C6</f>
        <v>0.19477272727272726</v>
      </c>
      <c r="H28" s="38"/>
      <c r="I28" s="7"/>
    </row>
    <row r="29" spans="2:10" ht="26.4" x14ac:dyDescent="0.55000000000000004">
      <c r="B29" s="4"/>
      <c r="C29" s="11"/>
      <c r="D29" s="9"/>
      <c r="E29" s="10"/>
      <c r="F29" s="10"/>
      <c r="G29" s="3"/>
      <c r="H29" s="7"/>
      <c r="I29" s="7"/>
    </row>
    <row r="30" spans="2:10" ht="26.4" x14ac:dyDescent="0.55000000000000004">
      <c r="B30" s="143" t="s">
        <v>79</v>
      </c>
      <c r="C30" s="144" t="str">
        <f>'All Job balance report'!B4</f>
        <v>PEK-2500/002</v>
      </c>
      <c r="D30" s="12"/>
      <c r="E30" s="13"/>
      <c r="F30" s="10"/>
      <c r="G30" s="3"/>
      <c r="H30" s="7"/>
      <c r="I30" s="7"/>
    </row>
    <row r="31" spans="2:10" ht="22.2" x14ac:dyDescent="0.55000000000000004">
      <c r="B31" s="82" t="s">
        <v>7</v>
      </c>
      <c r="C31" s="85">
        <f>'All Job balance report'!G9</f>
        <v>7000</v>
      </c>
      <c r="D31" s="15"/>
      <c r="E31" s="17"/>
      <c r="F31" s="18"/>
      <c r="G31" s="18"/>
      <c r="H31" s="18"/>
      <c r="I31" s="18"/>
    </row>
    <row r="32" spans="2:10" x14ac:dyDescent="0.25">
      <c r="B32" s="557" t="s">
        <v>23</v>
      </c>
      <c r="C32" s="557" t="s">
        <v>28</v>
      </c>
      <c r="D32" s="559"/>
      <c r="E32" s="555" t="s">
        <v>13</v>
      </c>
      <c r="F32" s="555" t="s">
        <v>54</v>
      </c>
      <c r="G32" s="555" t="s">
        <v>55</v>
      </c>
      <c r="H32" s="555" t="s">
        <v>56</v>
      </c>
      <c r="I32" s="555" t="s">
        <v>57</v>
      </c>
    </row>
    <row r="33" spans="2:18" ht="20.399999999999999" x14ac:dyDescent="0.35">
      <c r="B33" s="558"/>
      <c r="C33" s="558"/>
      <c r="D33" s="560"/>
      <c r="E33" s="555"/>
      <c r="F33" s="555"/>
      <c r="G33" s="555"/>
      <c r="H33" s="555"/>
      <c r="I33" s="555"/>
      <c r="N33" s="156" t="s">
        <v>80</v>
      </c>
      <c r="O33" s="156" t="s">
        <v>81</v>
      </c>
      <c r="P33" s="156" t="s">
        <v>82</v>
      </c>
      <c r="Q33" s="156" t="s">
        <v>83</v>
      </c>
    </row>
    <row r="34" spans="2:18" ht="20.399999999999999" x14ac:dyDescent="0.3">
      <c r="B34" s="73">
        <v>1</v>
      </c>
      <c r="C34" s="77">
        <v>10</v>
      </c>
      <c r="D34" s="77"/>
      <c r="E34" s="83" t="s">
        <v>25</v>
      </c>
      <c r="F34" s="100">
        <v>3000</v>
      </c>
      <c r="G34" s="94">
        <f>SUMIF($D$9:$D$24,$C$34,$G$9:$G$24)</f>
        <v>1720</v>
      </c>
      <c r="H34" s="96">
        <f>F34-G34</f>
        <v>1280</v>
      </c>
      <c r="I34" s="84"/>
      <c r="N34" s="150">
        <f>1391385.86+550222.39</f>
        <v>1941608.25</v>
      </c>
      <c r="O34" s="157">
        <v>187326.21</v>
      </c>
      <c r="P34" s="154">
        <v>171283.81</v>
      </c>
      <c r="Q34" s="154">
        <v>229202.12</v>
      </c>
      <c r="R34" s="151">
        <f t="shared" ref="R34:R43" si="0">SUM(N34:Q34)</f>
        <v>2529420.39</v>
      </c>
    </row>
    <row r="35" spans="2:18" ht="20.399999999999999" x14ac:dyDescent="0.3">
      <c r="B35" s="74">
        <v>2</v>
      </c>
      <c r="C35" s="80">
        <v>20</v>
      </c>
      <c r="D35" s="80"/>
      <c r="E35" s="83" t="s">
        <v>26</v>
      </c>
      <c r="F35" s="100">
        <v>900</v>
      </c>
      <c r="G35" s="94">
        <f>SUMIF($D$9:$D$24,$C$35,$G$9:$G$24)</f>
        <v>900</v>
      </c>
      <c r="H35" s="96">
        <f t="shared" ref="H35:H42" si="1">F35-G35</f>
        <v>0</v>
      </c>
      <c r="I35" s="84"/>
      <c r="N35" s="150">
        <f>125499.72+40000-N38</f>
        <v>100499.72</v>
      </c>
      <c r="O35" s="157">
        <f>129657.59-O38</f>
        <v>79657.59</v>
      </c>
      <c r="P35" s="154">
        <f>119025.22-P38</f>
        <v>69025.22</v>
      </c>
      <c r="Q35" s="154">
        <f>145843.83-Q38</f>
        <v>115843.82999999999</v>
      </c>
      <c r="R35" s="151">
        <f t="shared" si="0"/>
        <v>365026.36</v>
      </c>
    </row>
    <row r="36" spans="2:18" ht="20.399999999999999" x14ac:dyDescent="0.3">
      <c r="B36" s="75">
        <v>3</v>
      </c>
      <c r="C36" s="80">
        <v>30</v>
      </c>
      <c r="D36" s="80"/>
      <c r="E36" s="83" t="s">
        <v>48</v>
      </c>
      <c r="F36" s="100">
        <f t="shared" ref="F36:F40" si="2">R36</f>
        <v>0</v>
      </c>
      <c r="G36" s="94">
        <f>SUMIF($D$9:$D$24,$C$36,$G$9:$G$24)</f>
        <v>0</v>
      </c>
      <c r="H36" s="96">
        <f t="shared" si="1"/>
        <v>0</v>
      </c>
      <c r="I36" s="81"/>
      <c r="N36" s="150"/>
      <c r="O36" s="157"/>
      <c r="P36" s="154"/>
      <c r="Q36" s="154"/>
      <c r="R36" s="151">
        <f t="shared" si="0"/>
        <v>0</v>
      </c>
    </row>
    <row r="37" spans="2:18" ht="20.399999999999999" x14ac:dyDescent="0.3">
      <c r="B37" s="75">
        <v>4</v>
      </c>
      <c r="C37" s="80">
        <v>40</v>
      </c>
      <c r="D37" s="80"/>
      <c r="E37" s="83" t="s">
        <v>49</v>
      </c>
      <c r="F37" s="100">
        <v>0</v>
      </c>
      <c r="G37" s="94">
        <f>SUMIF($D$9:$D$24,$C$37,$G$9:$G$24)</f>
        <v>0</v>
      </c>
      <c r="H37" s="96">
        <f t="shared" si="1"/>
        <v>0</v>
      </c>
      <c r="I37" s="81"/>
      <c r="N37" s="150"/>
      <c r="O37" s="157"/>
      <c r="P37" s="154"/>
      <c r="Q37" s="154"/>
      <c r="R37" s="151">
        <f t="shared" si="0"/>
        <v>0</v>
      </c>
    </row>
    <row r="38" spans="2:18" ht="20.399999999999999" x14ac:dyDescent="0.3">
      <c r="B38" s="75">
        <v>5</v>
      </c>
      <c r="C38" s="80">
        <v>50</v>
      </c>
      <c r="D38" s="80"/>
      <c r="E38" s="83" t="s">
        <v>47</v>
      </c>
      <c r="F38" s="100">
        <v>500</v>
      </c>
      <c r="G38" s="94">
        <f>SUMIF($D$9:$D$24,$C$38,$G$9:$G$24)</f>
        <v>923</v>
      </c>
      <c r="H38" s="96">
        <f t="shared" si="1"/>
        <v>-423</v>
      </c>
      <c r="I38" s="81"/>
      <c r="N38" s="150">
        <v>65000</v>
      </c>
      <c r="O38" s="157">
        <v>50000</v>
      </c>
      <c r="P38" s="154">
        <v>50000</v>
      </c>
      <c r="Q38" s="154">
        <v>30000</v>
      </c>
      <c r="R38" s="151">
        <f t="shared" si="0"/>
        <v>195000</v>
      </c>
    </row>
    <row r="39" spans="2:18" ht="20.399999999999999" x14ac:dyDescent="0.3">
      <c r="B39" s="76">
        <v>6</v>
      </c>
      <c r="C39" s="80">
        <v>60</v>
      </c>
      <c r="D39" s="80"/>
      <c r="E39" s="83" t="s">
        <v>51</v>
      </c>
      <c r="F39" s="100">
        <v>0</v>
      </c>
      <c r="G39" s="94">
        <f>SUMIF($D$9:$D$24,$C$39,$G$9:$G$24)</f>
        <v>0</v>
      </c>
      <c r="H39" s="96">
        <f t="shared" si="1"/>
        <v>0</v>
      </c>
      <c r="I39" s="81"/>
      <c r="N39" s="150"/>
      <c r="O39" s="150"/>
      <c r="P39" s="150"/>
      <c r="Q39" s="150"/>
      <c r="R39" s="151">
        <f t="shared" si="0"/>
        <v>0</v>
      </c>
    </row>
    <row r="40" spans="2:18" ht="20.399999999999999" x14ac:dyDescent="0.3">
      <c r="B40" s="76">
        <v>7</v>
      </c>
      <c r="C40" s="80">
        <v>70</v>
      </c>
      <c r="D40" s="80"/>
      <c r="E40" s="83" t="s">
        <v>52</v>
      </c>
      <c r="F40" s="100">
        <f t="shared" si="2"/>
        <v>0</v>
      </c>
      <c r="G40" s="94">
        <f>SUMIF($D$9:$D$24,$C$40,$G$9:$G$24)</f>
        <v>0</v>
      </c>
      <c r="H40" s="96">
        <f t="shared" si="1"/>
        <v>0</v>
      </c>
      <c r="I40" s="81"/>
      <c r="N40" s="150"/>
      <c r="O40" s="150"/>
      <c r="P40" s="150"/>
      <c r="Q40" s="150"/>
      <c r="R40" s="151">
        <f t="shared" si="0"/>
        <v>0</v>
      </c>
    </row>
    <row r="41" spans="2:18" ht="20.399999999999999" x14ac:dyDescent="0.3">
      <c r="B41" s="76">
        <v>8</v>
      </c>
      <c r="C41" s="80">
        <v>80</v>
      </c>
      <c r="D41" s="80"/>
      <c r="E41" s="83" t="s">
        <v>53</v>
      </c>
      <c r="F41" s="100">
        <v>0</v>
      </c>
      <c r="G41" s="94">
        <f>SUMIF($D$9:$D$24,$C$41,$G$9:$G$24)</f>
        <v>0</v>
      </c>
      <c r="H41" s="96">
        <f t="shared" si="1"/>
        <v>0</v>
      </c>
      <c r="I41" s="81"/>
      <c r="N41" s="150"/>
      <c r="O41" s="150"/>
      <c r="P41" s="150"/>
      <c r="Q41" s="150"/>
      <c r="R41" s="151">
        <f t="shared" ref="R41" si="3">SUM(N41:Q41)</f>
        <v>0</v>
      </c>
    </row>
    <row r="42" spans="2:18" ht="20.399999999999999" x14ac:dyDescent="0.3">
      <c r="B42" s="76">
        <v>9</v>
      </c>
      <c r="C42" s="80">
        <v>90</v>
      </c>
      <c r="D42" s="80"/>
      <c r="E42" s="83" t="s">
        <v>369</v>
      </c>
      <c r="F42" s="100">
        <v>0</v>
      </c>
      <c r="G42" s="94">
        <f>SUMIF($D$9:$D$24,$C$42,$G$9:$G$24)</f>
        <v>0</v>
      </c>
      <c r="H42" s="96">
        <f t="shared" si="1"/>
        <v>0</v>
      </c>
      <c r="I42" s="81"/>
      <c r="N42" s="150"/>
      <c r="O42" s="150"/>
      <c r="P42" s="150"/>
      <c r="Q42" s="150"/>
      <c r="R42" s="151">
        <f t="shared" si="0"/>
        <v>0</v>
      </c>
    </row>
    <row r="43" spans="2:18" ht="20.399999999999999" x14ac:dyDescent="0.35">
      <c r="B43" s="89"/>
      <c r="C43" s="90"/>
      <c r="D43" s="90"/>
      <c r="E43" s="91" t="s">
        <v>59</v>
      </c>
      <c r="F43" s="92">
        <f>SUM(F34:F42)</f>
        <v>4400</v>
      </c>
      <c r="G43" s="92">
        <f>SUM(G34:G42)</f>
        <v>3543</v>
      </c>
      <c r="H43" s="97">
        <f>SUM(H34:H42)</f>
        <v>857</v>
      </c>
      <c r="I43" s="93"/>
      <c r="N43" s="150"/>
      <c r="O43" s="150"/>
      <c r="P43" s="150"/>
      <c r="Q43" s="150"/>
      <c r="R43" s="151">
        <f t="shared" si="0"/>
        <v>0</v>
      </c>
    </row>
    <row r="44" spans="2:18" ht="20.399999999999999" x14ac:dyDescent="0.35">
      <c r="B44" s="89"/>
      <c r="C44" s="90"/>
      <c r="D44" s="90"/>
      <c r="E44" s="91" t="s">
        <v>60</v>
      </c>
      <c r="F44" s="88">
        <f>((C31-F43)/C31)</f>
        <v>0.37142857142857144</v>
      </c>
      <c r="G44" s="88"/>
      <c r="H44" s="93"/>
      <c r="I44" s="93"/>
    </row>
    <row r="45" spans="2:18" ht="21" thickBot="1" x14ac:dyDescent="0.4">
      <c r="B45" s="89"/>
      <c r="C45" s="90"/>
      <c r="D45" s="90"/>
      <c r="E45" s="91" t="s">
        <v>58</v>
      </c>
      <c r="F45" s="92">
        <f>F44*C31</f>
        <v>2600</v>
      </c>
      <c r="G45" s="92"/>
      <c r="H45" s="93"/>
      <c r="I45" s="93"/>
      <c r="N45" s="153">
        <f>SUM(N34:N44)</f>
        <v>2107107.9699999997</v>
      </c>
      <c r="O45" s="153">
        <f t="shared" ref="O45:Q45" si="4">SUM(O34:O44)</f>
        <v>316983.8</v>
      </c>
      <c r="P45" s="153">
        <f t="shared" si="4"/>
        <v>290309.03000000003</v>
      </c>
      <c r="Q45" s="153">
        <f t="shared" si="4"/>
        <v>375045.94999999995</v>
      </c>
      <c r="R45" s="151">
        <f>SUM(N45:Q45)</f>
        <v>3089446.75</v>
      </c>
    </row>
    <row r="46" spans="2:18" ht="22.8" thickTop="1" x14ac:dyDescent="0.35">
      <c r="B46" s="41"/>
      <c r="C46" s="40"/>
      <c r="D46" s="40"/>
      <c r="E46" s="91" t="s">
        <v>68</v>
      </c>
      <c r="F46" s="194">
        <f>C31-G43</f>
        <v>3457</v>
      </c>
      <c r="G46" s="95"/>
      <c r="H46" s="81"/>
      <c r="I46" s="81"/>
    </row>
    <row r="47" spans="2:18" ht="15" x14ac:dyDescent="0.25">
      <c r="B47" s="41"/>
      <c r="C47" s="40"/>
      <c r="D47" s="40"/>
      <c r="E47" s="40"/>
      <c r="F47" s="40"/>
      <c r="G47" s="42"/>
      <c r="H47" s="43"/>
      <c r="I47" s="43"/>
    </row>
    <row r="48" spans="2:18" ht="31.8" customHeight="1" x14ac:dyDescent="0.25">
      <c r="B48" s="41"/>
      <c r="C48" s="40"/>
      <c r="D48" s="40"/>
      <c r="E48" s="474" t="s">
        <v>423</v>
      </c>
      <c r="F48" s="472">
        <f>F46*0.25</f>
        <v>864.25</v>
      </c>
      <c r="G48" s="42"/>
      <c r="H48" s="43"/>
      <c r="I48" s="43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15" x14ac:dyDescent="0.25">
      <c r="B50" s="41"/>
      <c r="C50" s="40"/>
      <c r="D50" s="40"/>
      <c r="E50" s="40"/>
      <c r="F50" s="40"/>
      <c r="G50" s="42"/>
      <c r="H50" s="43"/>
      <c r="I50" s="43"/>
    </row>
    <row r="51" spans="2:9" ht="18" x14ac:dyDescent="0.45">
      <c r="B51" s="7"/>
      <c r="C51" s="12"/>
      <c r="D51" s="9"/>
      <c r="E51" s="9"/>
      <c r="F51" s="39"/>
      <c r="G51" s="44"/>
      <c r="H51" s="12"/>
      <c r="I51" s="7"/>
    </row>
    <row r="52" spans="2:9" ht="18" x14ac:dyDescent="0.45">
      <c r="B52" s="7"/>
      <c r="C52" s="12"/>
      <c r="D52" s="9"/>
      <c r="E52" s="9"/>
      <c r="F52" s="45"/>
      <c r="G52" s="46"/>
      <c r="H52" s="12"/>
      <c r="I52" s="7"/>
    </row>
    <row r="53" spans="2:9" ht="18" x14ac:dyDescent="0.45">
      <c r="B53" s="7"/>
      <c r="C53" s="12"/>
      <c r="D53" s="9"/>
      <c r="E53" s="9"/>
      <c r="F53" s="12"/>
      <c r="G53" s="12"/>
      <c r="H53" s="12"/>
      <c r="I53" s="7"/>
    </row>
  </sheetData>
  <mergeCells count="8">
    <mergeCell ref="H32:H33"/>
    <mergeCell ref="I32:I33"/>
    <mergeCell ref="E4:F5"/>
    <mergeCell ref="B32:B33"/>
    <mergeCell ref="C32:D33"/>
    <mergeCell ref="E32:E33"/>
    <mergeCell ref="F32:F33"/>
    <mergeCell ref="G32:G33"/>
  </mergeCells>
  <conditionalFormatting sqref="H34:H43">
    <cfRule type="cellIs" dxfId="16" priority="1" operator="lessThan">
      <formula>0</formula>
    </cfRule>
    <cfRule type="cellIs" dxfId="15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976F-E8DA-4F3F-A840-29CF3A68A165}">
  <sheetPr>
    <tabColor rgb="FF00B050"/>
    <pageSetUpPr fitToPage="1"/>
  </sheetPr>
  <dimension ref="B1:R55"/>
  <sheetViews>
    <sheetView zoomScale="55" zoomScaleNormal="55" workbookViewId="0">
      <selection activeCell="D4" sqref="D4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3" max="13" width="12.296875" customWidth="1"/>
    <col min="14" max="17" width="19.296875" customWidth="1"/>
    <col min="18" max="18" width="27.09765625" customWidth="1"/>
  </cols>
  <sheetData>
    <row r="1" spans="2:17" ht="22.2" x14ac:dyDescent="0.35">
      <c r="B1" s="14" t="s">
        <v>0</v>
      </c>
      <c r="C1" s="2" t="s">
        <v>411</v>
      </c>
      <c r="D1" s="2"/>
      <c r="E1" s="2"/>
      <c r="F1" s="3"/>
      <c r="G1" s="3"/>
      <c r="H1" s="146" t="s">
        <v>1</v>
      </c>
      <c r="I1" s="147">
        <v>45955</v>
      </c>
    </row>
    <row r="2" spans="2:17" ht="22.8" x14ac:dyDescent="0.55000000000000004">
      <c r="B2" s="4" t="s">
        <v>2</v>
      </c>
      <c r="C2" s="5" t="str">
        <f>'All Job balance report'!F8</f>
        <v>งานบ้านห้วยขวาง</v>
      </c>
      <c r="D2" s="5"/>
      <c r="E2" s="5"/>
      <c r="F2" s="3"/>
      <c r="G2" s="3"/>
      <c r="H2" s="146" t="s">
        <v>3</v>
      </c>
      <c r="I2" s="148"/>
      <c r="N2" s="155" t="s">
        <v>80</v>
      </c>
      <c r="O2" s="155" t="s">
        <v>81</v>
      </c>
      <c r="P2" s="155" t="s">
        <v>82</v>
      </c>
      <c r="Q2" s="155" t="s">
        <v>83</v>
      </c>
    </row>
    <row r="3" spans="2:17" ht="22.2" x14ac:dyDescent="0.55000000000000004">
      <c r="B3" s="4" t="s">
        <v>74</v>
      </c>
      <c r="C3" s="145" t="str">
        <f>C32</f>
        <v>SUT-2500/001</v>
      </c>
      <c r="D3" s="6"/>
      <c r="E3" s="6"/>
      <c r="F3" s="7"/>
      <c r="G3" s="7"/>
      <c r="H3" s="7"/>
      <c r="I3" s="7"/>
      <c r="M3" t="s">
        <v>84</v>
      </c>
      <c r="N3" t="s">
        <v>85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N4" t="s">
        <v>86</v>
      </c>
    </row>
    <row r="5" spans="2:17" ht="22.2" x14ac:dyDescent="0.55000000000000004">
      <c r="B5" s="4" t="s">
        <v>7</v>
      </c>
      <c r="C5" s="11">
        <f>C33</f>
        <v>37500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F45</f>
        <v>28290</v>
      </c>
      <c r="D6" s="12"/>
      <c r="E6" s="13"/>
      <c r="F6" s="10"/>
      <c r="G6" s="3"/>
      <c r="H6" s="7"/>
      <c r="I6" s="7"/>
      <c r="M6" t="s">
        <v>7</v>
      </c>
      <c r="N6" s="158">
        <v>2254569.98</v>
      </c>
      <c r="O6" s="149"/>
      <c r="P6" s="158">
        <v>397867.06</v>
      </c>
      <c r="Q6" s="158">
        <v>513604.21</v>
      </c>
    </row>
    <row r="7" spans="2:17" ht="22.2" x14ac:dyDescent="0.55000000000000004">
      <c r="B7" s="15" t="s">
        <v>9</v>
      </c>
      <c r="C7" s="16">
        <f>(C5-C6)/C5</f>
        <v>0.24560000000000001</v>
      </c>
      <c r="D7" s="15" t="s">
        <v>10</v>
      </c>
      <c r="E7" s="17">
        <v>1</v>
      </c>
      <c r="F7" s="18"/>
      <c r="G7" s="18"/>
      <c r="H7" s="18"/>
      <c r="I7" s="18"/>
      <c r="N7" s="158">
        <v>265430.02</v>
      </c>
      <c r="O7" s="149"/>
      <c r="P7" s="149"/>
      <c r="Q7" s="149"/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N8" s="149"/>
      <c r="O8" s="149"/>
      <c r="P8" s="149"/>
      <c r="Q8" s="149"/>
    </row>
    <row r="9" spans="2:17" ht="23.4" x14ac:dyDescent="0.6">
      <c r="B9" s="108">
        <v>1</v>
      </c>
      <c r="C9" s="54" t="s">
        <v>412</v>
      </c>
      <c r="D9" s="58">
        <v>10</v>
      </c>
      <c r="E9" s="54" t="s">
        <v>413</v>
      </c>
      <c r="F9" s="54"/>
      <c r="G9" s="487">
        <v>6411.92</v>
      </c>
      <c r="H9" s="59" t="s">
        <v>17</v>
      </c>
      <c r="I9" s="445">
        <v>45992</v>
      </c>
      <c r="J9" s="175"/>
      <c r="N9" s="149"/>
      <c r="O9" s="149"/>
      <c r="P9" s="149"/>
      <c r="Q9" s="149"/>
    </row>
    <row r="10" spans="2:17" ht="23.4" x14ac:dyDescent="0.6">
      <c r="B10" s="109">
        <v>2</v>
      </c>
      <c r="C10" s="54" t="s">
        <v>355</v>
      </c>
      <c r="D10" s="58">
        <v>10</v>
      </c>
      <c r="E10" s="54" t="s">
        <v>356</v>
      </c>
      <c r="F10" s="54"/>
      <c r="G10" s="487">
        <v>9577</v>
      </c>
      <c r="H10" s="59" t="s">
        <v>17</v>
      </c>
      <c r="I10" s="445">
        <v>45992</v>
      </c>
      <c r="J10" s="176"/>
      <c r="N10" s="149"/>
      <c r="O10" s="149"/>
      <c r="P10" s="149"/>
      <c r="Q10" s="149"/>
    </row>
    <row r="11" spans="2:17" ht="23.4" x14ac:dyDescent="0.6">
      <c r="B11" s="108">
        <v>4</v>
      </c>
      <c r="C11" s="54" t="s">
        <v>422</v>
      </c>
      <c r="D11" s="58">
        <v>10</v>
      </c>
      <c r="E11" s="55" t="s">
        <v>421</v>
      </c>
      <c r="F11" s="54"/>
      <c r="G11" s="487">
        <v>656.93</v>
      </c>
      <c r="H11" s="59" t="s">
        <v>17</v>
      </c>
      <c r="I11" s="445">
        <v>45997</v>
      </c>
      <c r="J11" s="176" t="s">
        <v>366</v>
      </c>
      <c r="N11" s="149"/>
      <c r="O11" s="149"/>
      <c r="P11" s="149"/>
      <c r="Q11" s="149"/>
    </row>
    <row r="12" spans="2:17" ht="25.2" customHeight="1" x14ac:dyDescent="0.6">
      <c r="B12" s="109">
        <v>5</v>
      </c>
      <c r="C12" s="55" t="s">
        <v>334</v>
      </c>
      <c r="D12" s="58">
        <v>50</v>
      </c>
      <c r="E12" s="54" t="s">
        <v>262</v>
      </c>
      <c r="F12" s="55"/>
      <c r="G12" s="487">
        <v>1000</v>
      </c>
      <c r="H12" s="59" t="s">
        <v>17</v>
      </c>
      <c r="I12" s="445">
        <v>45996</v>
      </c>
      <c r="J12" s="176" t="s">
        <v>366</v>
      </c>
    </row>
    <row r="13" spans="2:17" ht="25.2" customHeight="1" x14ac:dyDescent="0.6">
      <c r="B13" s="108">
        <v>7</v>
      </c>
      <c r="C13" s="54" t="s">
        <v>422</v>
      </c>
      <c r="D13" s="58">
        <v>10</v>
      </c>
      <c r="E13" s="54" t="s">
        <v>448</v>
      </c>
      <c r="F13" s="55"/>
      <c r="G13" s="71">
        <v>645.54999999999995</v>
      </c>
      <c r="H13" s="59" t="s">
        <v>17</v>
      </c>
      <c r="I13" s="445">
        <v>46005</v>
      </c>
      <c r="J13" s="176" t="s">
        <v>366</v>
      </c>
    </row>
    <row r="14" spans="2:17" ht="25.2" customHeight="1" x14ac:dyDescent="0.6">
      <c r="B14" s="108">
        <v>7</v>
      </c>
      <c r="C14" s="55"/>
      <c r="D14" s="58">
        <v>10</v>
      </c>
      <c r="E14" s="54" t="s">
        <v>262</v>
      </c>
      <c r="F14" s="55"/>
      <c r="G14" s="487">
        <v>1000</v>
      </c>
      <c r="H14" s="59" t="s">
        <v>17</v>
      </c>
      <c r="I14" s="445">
        <v>46004</v>
      </c>
      <c r="J14" s="176" t="s">
        <v>366</v>
      </c>
    </row>
    <row r="15" spans="2:17" ht="25.2" customHeight="1" x14ac:dyDescent="0.6">
      <c r="B15" s="108">
        <v>7</v>
      </c>
      <c r="C15" s="55" t="s">
        <v>455</v>
      </c>
      <c r="D15" s="58">
        <v>10</v>
      </c>
      <c r="E15" s="54" t="s">
        <v>453</v>
      </c>
      <c r="F15" s="55"/>
      <c r="G15" s="71">
        <v>283.8</v>
      </c>
      <c r="H15" s="59" t="s">
        <v>17</v>
      </c>
      <c r="I15" s="445">
        <v>46005</v>
      </c>
      <c r="J15" s="176" t="s">
        <v>366</v>
      </c>
    </row>
    <row r="16" spans="2:17" ht="25.2" customHeight="1" x14ac:dyDescent="0.6">
      <c r="B16" s="108">
        <v>7</v>
      </c>
      <c r="C16" s="55" t="s">
        <v>455</v>
      </c>
      <c r="D16" s="58">
        <v>10</v>
      </c>
      <c r="E16" s="54" t="s">
        <v>454</v>
      </c>
      <c r="F16" s="55"/>
      <c r="G16" s="71">
        <v>2289</v>
      </c>
      <c r="H16" s="59" t="s">
        <v>17</v>
      </c>
      <c r="I16" s="445">
        <v>46005</v>
      </c>
      <c r="J16" s="176" t="s">
        <v>366</v>
      </c>
    </row>
    <row r="17" spans="2:17" ht="25.2" customHeight="1" x14ac:dyDescent="0.6">
      <c r="B17" s="108">
        <v>7</v>
      </c>
      <c r="C17" s="55" t="s">
        <v>455</v>
      </c>
      <c r="D17" s="58">
        <v>10</v>
      </c>
      <c r="E17" s="54" t="s">
        <v>456</v>
      </c>
      <c r="F17" s="55"/>
      <c r="G17" s="71">
        <v>546</v>
      </c>
      <c r="H17" s="59" t="s">
        <v>17</v>
      </c>
      <c r="I17" s="445">
        <v>46005</v>
      </c>
      <c r="J17" s="176" t="s">
        <v>366</v>
      </c>
    </row>
    <row r="18" spans="2:17" ht="25.2" customHeight="1" x14ac:dyDescent="0.6">
      <c r="B18" s="109">
        <v>8</v>
      </c>
      <c r="C18" s="55" t="s">
        <v>459</v>
      </c>
      <c r="D18" s="449">
        <v>10</v>
      </c>
      <c r="E18" s="486" t="s">
        <v>457</v>
      </c>
      <c r="F18" s="488"/>
      <c r="G18" s="489">
        <v>250</v>
      </c>
      <c r="H18" s="59" t="s">
        <v>17</v>
      </c>
      <c r="I18" s="445">
        <v>46005</v>
      </c>
      <c r="J18" s="176" t="s">
        <v>366</v>
      </c>
    </row>
    <row r="19" spans="2:17" ht="25.2" customHeight="1" x14ac:dyDescent="0.6">
      <c r="B19" s="108">
        <v>9</v>
      </c>
      <c r="C19" s="55" t="s">
        <v>460</v>
      </c>
      <c r="D19" s="58">
        <v>10</v>
      </c>
      <c r="E19" s="54" t="s">
        <v>458</v>
      </c>
      <c r="F19" s="54"/>
      <c r="G19" s="71">
        <f>150+70</f>
        <v>220</v>
      </c>
      <c r="H19" s="59" t="s">
        <v>17</v>
      </c>
      <c r="I19" s="445">
        <v>46005</v>
      </c>
      <c r="J19" s="176" t="s">
        <v>366</v>
      </c>
    </row>
    <row r="20" spans="2:17" ht="25.2" customHeight="1" x14ac:dyDescent="0.6">
      <c r="B20" s="108">
        <v>6</v>
      </c>
      <c r="C20" s="54" t="s">
        <v>414</v>
      </c>
      <c r="D20" s="447">
        <v>20</v>
      </c>
      <c r="E20" s="448" t="s">
        <v>364</v>
      </c>
      <c r="F20" s="456"/>
      <c r="G20" s="457">
        <v>1000</v>
      </c>
      <c r="H20" s="59" t="s">
        <v>17</v>
      </c>
      <c r="I20" s="473">
        <v>46005</v>
      </c>
      <c r="J20" s="176" t="s">
        <v>435</v>
      </c>
    </row>
    <row r="21" spans="2:17" ht="23.4" x14ac:dyDescent="0.6">
      <c r="B21" s="108">
        <v>3</v>
      </c>
      <c r="C21" s="54" t="s">
        <v>414</v>
      </c>
      <c r="D21" s="58">
        <v>20</v>
      </c>
      <c r="E21" s="54" t="s">
        <v>436</v>
      </c>
      <c r="F21" s="54"/>
      <c r="G21" s="71">
        <v>800</v>
      </c>
      <c r="H21" s="59" t="s">
        <v>17</v>
      </c>
      <c r="I21" s="445">
        <v>45992</v>
      </c>
      <c r="J21" s="176" t="s">
        <v>435</v>
      </c>
      <c r="N21" s="149"/>
      <c r="O21" s="149"/>
      <c r="P21" s="149"/>
      <c r="Q21" s="149"/>
    </row>
    <row r="22" spans="2:17" ht="25.2" customHeight="1" x14ac:dyDescent="0.6">
      <c r="B22" s="108">
        <v>10</v>
      </c>
      <c r="C22" s="55"/>
      <c r="D22" s="58">
        <v>20</v>
      </c>
      <c r="E22" s="54" t="s">
        <v>434</v>
      </c>
      <c r="F22" s="54"/>
      <c r="G22" s="71">
        <v>6700</v>
      </c>
      <c r="H22" s="59" t="s">
        <v>17</v>
      </c>
      <c r="I22" s="445">
        <v>46003</v>
      </c>
      <c r="J22" s="176" t="s">
        <v>435</v>
      </c>
    </row>
    <row r="23" spans="2:17" ht="25.2" customHeight="1" x14ac:dyDescent="0.6">
      <c r="B23" s="109">
        <v>11</v>
      </c>
      <c r="C23" s="54" t="s">
        <v>414</v>
      </c>
      <c r="D23" s="58">
        <v>20</v>
      </c>
      <c r="E23" s="54" t="s">
        <v>415</v>
      </c>
      <c r="F23" s="54"/>
      <c r="G23" s="71">
        <v>1000</v>
      </c>
      <c r="H23" s="59" t="s">
        <v>17</v>
      </c>
      <c r="I23" s="445">
        <v>46006</v>
      </c>
      <c r="J23" s="176" t="s">
        <v>366</v>
      </c>
    </row>
    <row r="24" spans="2:17" ht="25.2" customHeight="1" x14ac:dyDescent="0.6">
      <c r="B24" s="109">
        <v>12</v>
      </c>
      <c r="C24" s="55"/>
      <c r="D24" s="58">
        <v>20</v>
      </c>
      <c r="E24" s="54" t="s">
        <v>415</v>
      </c>
      <c r="F24" s="54"/>
      <c r="G24" s="71">
        <v>1800</v>
      </c>
      <c r="H24" s="59" t="s">
        <v>17</v>
      </c>
      <c r="I24" s="445">
        <v>46015</v>
      </c>
      <c r="J24" s="175"/>
    </row>
    <row r="25" spans="2:17" ht="25.2" customHeight="1" x14ac:dyDescent="0.6">
      <c r="B25" s="109">
        <v>13</v>
      </c>
      <c r="C25" s="55"/>
      <c r="D25" s="58">
        <v>20</v>
      </c>
      <c r="E25" s="54" t="s">
        <v>415</v>
      </c>
      <c r="F25" s="54"/>
      <c r="G25" s="71">
        <v>800</v>
      </c>
      <c r="H25" s="59" t="s">
        <v>17</v>
      </c>
      <c r="I25" s="445">
        <v>46015</v>
      </c>
      <c r="J25" s="175"/>
    </row>
    <row r="26" spans="2:17" ht="25.2" customHeight="1" x14ac:dyDescent="0.6">
      <c r="B26" s="109">
        <v>14</v>
      </c>
      <c r="C26" s="55"/>
      <c r="D26" s="58"/>
      <c r="E26" s="54" t="s">
        <v>415</v>
      </c>
      <c r="F26" s="54"/>
      <c r="G26" s="71"/>
      <c r="H26" s="59"/>
      <c r="I26" s="445"/>
      <c r="J26" s="175"/>
    </row>
    <row r="27" spans="2:17" ht="18" x14ac:dyDescent="0.45">
      <c r="B27" s="7"/>
      <c r="C27" s="12"/>
      <c r="D27" s="9"/>
      <c r="E27" s="9"/>
      <c r="F27" s="32" t="s">
        <v>18</v>
      </c>
      <c r="G27" s="33">
        <f>SUM(G9:G26)</f>
        <v>34980.199999999997</v>
      </c>
      <c r="H27" s="12"/>
      <c r="I27" s="7"/>
    </row>
    <row r="28" spans="2:17" ht="18" x14ac:dyDescent="0.45">
      <c r="B28" s="7"/>
      <c r="C28" s="12"/>
      <c r="D28" s="9"/>
      <c r="E28" s="9"/>
      <c r="F28" s="34" t="s">
        <v>19</v>
      </c>
      <c r="G28" s="35">
        <f>$C$6-G27</f>
        <v>-6690.1999999999971</v>
      </c>
      <c r="H28" s="12"/>
      <c r="I28" s="7"/>
    </row>
    <row r="29" spans="2:17" ht="18" x14ac:dyDescent="0.45">
      <c r="B29" s="7"/>
      <c r="C29" s="12"/>
      <c r="D29" s="9"/>
      <c r="E29" s="9"/>
      <c r="F29" s="12"/>
      <c r="G29" s="12"/>
      <c r="H29" s="12"/>
      <c r="I29" s="7"/>
    </row>
    <row r="30" spans="2:17" ht="18" x14ac:dyDescent="0.45">
      <c r="B30" s="7"/>
      <c r="C30" s="12"/>
      <c r="D30" s="9"/>
      <c r="E30" s="9"/>
      <c r="F30" s="36" t="s">
        <v>20</v>
      </c>
      <c r="G30" s="37">
        <f>G28/C6</f>
        <v>-0.23648639095086593</v>
      </c>
      <c r="H30" s="38"/>
      <c r="I30" s="7"/>
    </row>
    <row r="31" spans="2:17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7" ht="26.4" x14ac:dyDescent="0.55000000000000004">
      <c r="B32" s="143" t="s">
        <v>79</v>
      </c>
      <c r="C32" s="144" t="str">
        <f>'All Job balance report'!B8</f>
        <v>SUT-2500/001</v>
      </c>
      <c r="D32" s="12"/>
      <c r="E32" s="13"/>
      <c r="F32" s="10"/>
      <c r="G32" s="3"/>
      <c r="H32" s="7"/>
      <c r="I32" s="7"/>
    </row>
    <row r="33" spans="2:18" ht="19.8" x14ac:dyDescent="0.5">
      <c r="B33" s="82" t="s">
        <v>7</v>
      </c>
      <c r="C33" s="94">
        <f>'All Job balance report'!G8</f>
        <v>37500</v>
      </c>
      <c r="D33" s="15">
        <v>0</v>
      </c>
      <c r="E33" s="17"/>
      <c r="F33" s="18"/>
      <c r="G33" s="18"/>
      <c r="H33" s="18"/>
      <c r="I33" s="18"/>
    </row>
    <row r="34" spans="2:18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18" ht="20.399999999999999" x14ac:dyDescent="0.35">
      <c r="B35" s="558"/>
      <c r="C35" s="558"/>
      <c r="D35" s="560"/>
      <c r="E35" s="555"/>
      <c r="F35" s="555"/>
      <c r="G35" s="555"/>
      <c r="H35" s="555"/>
      <c r="I35" s="555"/>
      <c r="N35" s="156" t="s">
        <v>80</v>
      </c>
      <c r="O35" s="156" t="s">
        <v>81</v>
      </c>
      <c r="P35" s="156" t="s">
        <v>82</v>
      </c>
      <c r="Q35" s="156" t="s">
        <v>83</v>
      </c>
    </row>
    <row r="36" spans="2:18" ht="20.399999999999999" x14ac:dyDescent="0.3">
      <c r="B36" s="73">
        <v>1</v>
      </c>
      <c r="C36" s="77">
        <v>10</v>
      </c>
      <c r="D36" s="77"/>
      <c r="E36" s="83" t="s">
        <v>25</v>
      </c>
      <c r="F36" s="100">
        <f>16290+1500</f>
        <v>17790</v>
      </c>
      <c r="G36" s="94">
        <f>SUMIF($D$9:$D$26,$C$36,$G$9:$G$26)</f>
        <v>21880.199999999997</v>
      </c>
      <c r="H36" s="96">
        <f>F36-G36</f>
        <v>-4090.1999999999971</v>
      </c>
      <c r="I36" s="84"/>
      <c r="N36" s="150">
        <f>1391385.86+550222.39</f>
        <v>1941608.25</v>
      </c>
      <c r="O36" s="157">
        <v>187326.21</v>
      </c>
      <c r="P36" s="154">
        <v>171283.81</v>
      </c>
      <c r="Q36" s="154">
        <v>229202.12</v>
      </c>
      <c r="R36" s="151">
        <f t="shared" ref="R36:R45" si="0">SUM(N36:Q36)</f>
        <v>2529420.39</v>
      </c>
    </row>
    <row r="37" spans="2:18" ht="20.399999999999999" x14ac:dyDescent="0.3">
      <c r="B37" s="74">
        <v>2</v>
      </c>
      <c r="C37" s="80">
        <v>20</v>
      </c>
      <c r="D37" s="80"/>
      <c r="E37" s="83" t="s">
        <v>26</v>
      </c>
      <c r="F37" s="100">
        <v>9000</v>
      </c>
      <c r="G37" s="94">
        <f>SUMIF($D$9:$D$26,$C$37,$G$9:$G$26)</f>
        <v>12100</v>
      </c>
      <c r="H37" s="96">
        <f t="shared" ref="H37:H44" si="1">F37-G37</f>
        <v>-3100</v>
      </c>
      <c r="I37" s="84"/>
      <c r="N37" s="150">
        <f>125499.72+40000-N40</f>
        <v>100499.72</v>
      </c>
      <c r="O37" s="157">
        <f>129657.59-O40</f>
        <v>79657.59</v>
      </c>
      <c r="P37" s="154">
        <f>119025.22-P40</f>
        <v>69025.22</v>
      </c>
      <c r="Q37" s="154">
        <f>145843.83-Q40</f>
        <v>115843.82999999999</v>
      </c>
      <c r="R37" s="151">
        <f t="shared" si="0"/>
        <v>365026.36</v>
      </c>
    </row>
    <row r="38" spans="2:18" ht="20.399999999999999" x14ac:dyDescent="0.3">
      <c r="B38" s="75">
        <v>3</v>
      </c>
      <c r="C38" s="80">
        <v>30</v>
      </c>
      <c r="D38" s="80"/>
      <c r="E38" s="83" t="s">
        <v>48</v>
      </c>
      <c r="F38" s="100">
        <f t="shared" ref="F38:F42" si="2">R38</f>
        <v>0</v>
      </c>
      <c r="G38" s="94">
        <f>SUMIF($D$9:$D$26,$C$38,$G$9:$G$26)</f>
        <v>0</v>
      </c>
      <c r="H38" s="96">
        <f t="shared" si="1"/>
        <v>0</v>
      </c>
      <c r="I38" s="81"/>
      <c r="N38" s="150"/>
      <c r="O38" s="157"/>
      <c r="P38" s="154"/>
      <c r="Q38" s="154"/>
      <c r="R38" s="151">
        <f t="shared" si="0"/>
        <v>0</v>
      </c>
    </row>
    <row r="39" spans="2:18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1"/>
        <v>0</v>
      </c>
      <c r="I39" s="81"/>
      <c r="N39" s="150"/>
      <c r="O39" s="157"/>
      <c r="P39" s="154"/>
      <c r="Q39" s="154"/>
      <c r="R39" s="151">
        <f t="shared" si="0"/>
        <v>0</v>
      </c>
    </row>
    <row r="40" spans="2:18" ht="20.399999999999999" x14ac:dyDescent="0.3">
      <c r="B40" s="75">
        <v>5</v>
      </c>
      <c r="C40" s="80">
        <v>50</v>
      </c>
      <c r="D40" s="80"/>
      <c r="E40" s="83" t="s">
        <v>47</v>
      </c>
      <c r="F40" s="100">
        <v>1500</v>
      </c>
      <c r="G40" s="94">
        <f>SUMIF($D$9:$D$26,$C$40,$G$9:$G$26)</f>
        <v>1000</v>
      </c>
      <c r="H40" s="96">
        <f t="shared" si="1"/>
        <v>500</v>
      </c>
      <c r="I40" s="81"/>
      <c r="N40" s="150">
        <v>65000</v>
      </c>
      <c r="O40" s="157">
        <v>50000</v>
      </c>
      <c r="P40" s="154">
        <v>50000</v>
      </c>
      <c r="Q40" s="154">
        <v>30000</v>
      </c>
      <c r="R40" s="151">
        <f t="shared" si="0"/>
        <v>195000</v>
      </c>
    </row>
    <row r="41" spans="2:18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1"/>
        <v>0</v>
      </c>
      <c r="I41" s="81"/>
      <c r="N41" s="150"/>
      <c r="O41" s="150"/>
      <c r="P41" s="150"/>
      <c r="Q41" s="150"/>
      <c r="R41" s="151">
        <f t="shared" si="0"/>
        <v>0</v>
      </c>
    </row>
    <row r="42" spans="2:18" ht="20.399999999999999" x14ac:dyDescent="0.3">
      <c r="B42" s="76">
        <v>7</v>
      </c>
      <c r="C42" s="80">
        <v>70</v>
      </c>
      <c r="D42" s="80"/>
      <c r="E42" s="83" t="s">
        <v>52</v>
      </c>
      <c r="F42" s="100">
        <f t="shared" si="2"/>
        <v>0</v>
      </c>
      <c r="G42" s="94">
        <f>SUMIF($D$9:$D$26,$C$42,$G$9:$G$26)</f>
        <v>0</v>
      </c>
      <c r="H42" s="96">
        <f t="shared" si="1"/>
        <v>0</v>
      </c>
      <c r="I42" s="81"/>
      <c r="N42" s="150"/>
      <c r="O42" s="150"/>
      <c r="P42" s="150"/>
      <c r="Q42" s="150"/>
      <c r="R42" s="151">
        <f t="shared" si="0"/>
        <v>0</v>
      </c>
    </row>
    <row r="43" spans="2:18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0</v>
      </c>
      <c r="H43" s="96">
        <f t="shared" si="1"/>
        <v>0</v>
      </c>
      <c r="I43" s="81"/>
      <c r="N43" s="150"/>
      <c r="O43" s="150"/>
      <c r="P43" s="150"/>
      <c r="Q43" s="150"/>
      <c r="R43" s="151">
        <f t="shared" ref="R43" si="3">SUM(N43:Q43)</f>
        <v>0</v>
      </c>
    </row>
    <row r="44" spans="2:18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1"/>
        <v>0</v>
      </c>
      <c r="I44" s="81"/>
      <c r="N44" s="150"/>
      <c r="O44" s="150"/>
      <c r="P44" s="150"/>
      <c r="Q44" s="150"/>
      <c r="R44" s="151">
        <f t="shared" si="0"/>
        <v>0</v>
      </c>
    </row>
    <row r="45" spans="2:18" ht="20.399999999999999" x14ac:dyDescent="0.35">
      <c r="B45" s="89"/>
      <c r="C45" s="90"/>
      <c r="D45" s="90"/>
      <c r="E45" s="91" t="s">
        <v>59</v>
      </c>
      <c r="F45" s="92">
        <f>SUM(F36:F44)</f>
        <v>28290</v>
      </c>
      <c r="G45" s="92">
        <f>SUM(G36:G44)</f>
        <v>34980.199999999997</v>
      </c>
      <c r="H45" s="97">
        <f>SUM(H36:H44)</f>
        <v>-6690.1999999999971</v>
      </c>
      <c r="I45" s="93"/>
      <c r="N45" s="150"/>
      <c r="O45" s="150"/>
      <c r="P45" s="150"/>
      <c r="Q45" s="150"/>
      <c r="R45" s="151">
        <f t="shared" si="0"/>
        <v>0</v>
      </c>
    </row>
    <row r="46" spans="2:18" ht="20.399999999999999" x14ac:dyDescent="0.35">
      <c r="B46" s="89"/>
      <c r="C46" s="90"/>
      <c r="D46" s="90"/>
      <c r="E46" s="91" t="s">
        <v>60</v>
      </c>
      <c r="F46" s="88">
        <f>((C33-F45)/C33)</f>
        <v>0.24560000000000001</v>
      </c>
      <c r="G46" s="88"/>
      <c r="H46" s="93"/>
      <c r="I46" s="93"/>
    </row>
    <row r="47" spans="2:18" ht="21" thickBot="1" x14ac:dyDescent="0.4">
      <c r="B47" s="89"/>
      <c r="C47" s="90"/>
      <c r="D47" s="90"/>
      <c r="E47" s="91" t="s">
        <v>58</v>
      </c>
      <c r="F47" s="92">
        <f>F46*C33</f>
        <v>9210</v>
      </c>
      <c r="G47" s="92"/>
      <c r="H47" s="93"/>
      <c r="I47" s="93"/>
      <c r="N47" s="153">
        <f>SUM(N36:N46)</f>
        <v>2107107.9699999997</v>
      </c>
      <c r="O47" s="153">
        <f t="shared" ref="O47:Q47" si="4">SUM(O36:O46)</f>
        <v>316983.8</v>
      </c>
      <c r="P47" s="153">
        <f t="shared" si="4"/>
        <v>290309.03000000003</v>
      </c>
      <c r="Q47" s="153">
        <f t="shared" si="4"/>
        <v>375045.94999999995</v>
      </c>
      <c r="R47" s="151">
        <f>SUM(N47:Q47)</f>
        <v>3089446.75</v>
      </c>
    </row>
    <row r="48" spans="2:18" ht="22.8" thickTop="1" x14ac:dyDescent="0.35">
      <c r="B48" s="41"/>
      <c r="C48" s="40"/>
      <c r="D48" s="40"/>
      <c r="E48" s="91" t="s">
        <v>68</v>
      </c>
      <c r="F48" s="194">
        <f>C33-G45</f>
        <v>2519.8000000000029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27.6" customHeight="1" x14ac:dyDescent="0.35">
      <c r="B50" s="41"/>
      <c r="C50" s="40"/>
      <c r="D50" s="40"/>
      <c r="E50" s="475" t="s">
        <v>423</v>
      </c>
      <c r="F50" s="476">
        <f>F48*0.25</f>
        <v>629.95000000000073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14" priority="1" operator="lessThan">
      <formula>0</formula>
    </cfRule>
    <cfRule type="cellIs" dxfId="13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7418-98B0-4FA5-8E2D-4085E8A81ABB}">
  <sheetPr>
    <tabColor rgb="FF00B050"/>
    <pageSetUpPr fitToPage="1"/>
  </sheetPr>
  <dimension ref="B1:M55"/>
  <sheetViews>
    <sheetView topLeftCell="C17" zoomScale="55" zoomScaleNormal="55" workbookViewId="0">
      <selection activeCell="K39" sqref="K39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3" max="13" width="12.296875" customWidth="1"/>
  </cols>
  <sheetData>
    <row r="1" spans="2:13" ht="22.2" x14ac:dyDescent="0.35">
      <c r="B1" s="14" t="s">
        <v>0</v>
      </c>
      <c r="C1" s="2" t="str">
        <f>'All Job balance report'!D7</f>
        <v>Unity System Co., Ltd.</v>
      </c>
      <c r="D1" s="2"/>
      <c r="E1" s="2"/>
      <c r="F1" s="3"/>
      <c r="G1" s="3"/>
      <c r="H1" s="146" t="s">
        <v>1</v>
      </c>
      <c r="I1" s="147">
        <v>45934</v>
      </c>
    </row>
    <row r="2" spans="2:13" ht="22.2" x14ac:dyDescent="0.55000000000000004">
      <c r="B2" s="4" t="s">
        <v>2</v>
      </c>
      <c r="C2" s="5" t="str">
        <f>'All Job balance report'!F7</f>
        <v>งานค่าแรงผู้รับเหมา</v>
      </c>
      <c r="D2" s="5"/>
      <c r="E2" s="5"/>
      <c r="F2" s="3"/>
      <c r="G2" s="3"/>
      <c r="H2" s="146" t="s">
        <v>3</v>
      </c>
      <c r="I2" s="148"/>
    </row>
    <row r="3" spans="2:13" ht="22.2" x14ac:dyDescent="0.55000000000000004">
      <c r="B3" s="4" t="s">
        <v>74</v>
      </c>
      <c r="C3" s="145" t="str">
        <f>C32</f>
        <v>QMP-2500/001</v>
      </c>
      <c r="D3" s="6"/>
      <c r="E3" s="6"/>
      <c r="F3" s="7"/>
      <c r="G3" s="7"/>
      <c r="H3" s="7"/>
      <c r="I3" s="7"/>
      <c r="M3" t="s">
        <v>84</v>
      </c>
    </row>
    <row r="4" spans="2:13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</row>
    <row r="5" spans="2:13" ht="22.2" x14ac:dyDescent="0.55000000000000004">
      <c r="B5" s="4" t="s">
        <v>7</v>
      </c>
      <c r="C5" s="11">
        <f>C33</f>
        <v>371100</v>
      </c>
      <c r="D5" s="9"/>
      <c r="E5" s="556"/>
      <c r="F5" s="556"/>
      <c r="G5" s="3"/>
      <c r="H5" s="7"/>
      <c r="I5" s="7"/>
    </row>
    <row r="6" spans="2:13" ht="26.4" x14ac:dyDescent="0.55000000000000004">
      <c r="B6" s="4" t="s">
        <v>8</v>
      </c>
      <c r="C6" s="11">
        <f>F45</f>
        <v>371100</v>
      </c>
      <c r="D6" s="12"/>
      <c r="E6" s="13"/>
      <c r="F6" s="10"/>
      <c r="G6" s="3"/>
      <c r="H6" s="7"/>
      <c r="I6" s="7"/>
      <c r="M6" t="s">
        <v>7</v>
      </c>
    </row>
    <row r="7" spans="2:13" ht="22.2" x14ac:dyDescent="0.55000000000000004">
      <c r="B7" s="15" t="s">
        <v>9</v>
      </c>
      <c r="C7" s="16">
        <f>(C5-C6)/C5</f>
        <v>0</v>
      </c>
      <c r="D7" s="15" t="s">
        <v>10</v>
      </c>
      <c r="E7" s="17">
        <v>1</v>
      </c>
      <c r="F7" s="18"/>
      <c r="G7" s="18"/>
      <c r="H7" s="18"/>
      <c r="I7" s="18"/>
    </row>
    <row r="8" spans="2:13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</row>
    <row r="9" spans="2:13" ht="23.4" x14ac:dyDescent="0.6">
      <c r="B9" s="108">
        <v>1</v>
      </c>
      <c r="C9" s="54" t="s">
        <v>396</v>
      </c>
      <c r="D9" s="58">
        <v>10</v>
      </c>
      <c r="E9" s="54" t="s">
        <v>397</v>
      </c>
      <c r="F9" s="54"/>
      <c r="G9" s="71">
        <v>400</v>
      </c>
      <c r="H9" s="59" t="s">
        <v>17</v>
      </c>
      <c r="I9" s="445">
        <v>45965</v>
      </c>
      <c r="J9" s="175"/>
    </row>
    <row r="10" spans="2:13" ht="23.4" x14ac:dyDescent="0.6">
      <c r="B10" s="109">
        <v>2</v>
      </c>
      <c r="C10" s="54" t="s">
        <v>395</v>
      </c>
      <c r="D10" s="58">
        <v>20</v>
      </c>
      <c r="E10" s="54" t="s">
        <v>401</v>
      </c>
      <c r="F10" s="54"/>
      <c r="G10" s="71">
        <v>50334.400000000001</v>
      </c>
      <c r="H10" s="59" t="s">
        <v>17</v>
      </c>
      <c r="I10" s="445">
        <v>45965</v>
      </c>
      <c r="J10" s="176"/>
    </row>
    <row r="11" spans="2:13" ht="23.4" x14ac:dyDescent="0.6">
      <c r="B11" s="108">
        <v>3</v>
      </c>
      <c r="C11" s="54" t="s">
        <v>399</v>
      </c>
      <c r="D11" s="58">
        <v>10</v>
      </c>
      <c r="E11" s="54" t="s">
        <v>398</v>
      </c>
      <c r="F11" s="54"/>
      <c r="G11" s="71">
        <v>5500</v>
      </c>
      <c r="H11" s="59" t="s">
        <v>17</v>
      </c>
      <c r="I11" s="445">
        <v>45965</v>
      </c>
      <c r="J11" s="176"/>
    </row>
    <row r="12" spans="2:13" ht="23.4" x14ac:dyDescent="0.6">
      <c r="B12" s="109">
        <v>4</v>
      </c>
      <c r="C12" s="54" t="s">
        <v>399</v>
      </c>
      <c r="D12" s="58">
        <v>10</v>
      </c>
      <c r="E12" s="55" t="s">
        <v>400</v>
      </c>
      <c r="F12" s="54"/>
      <c r="G12" s="71">
        <v>10000</v>
      </c>
      <c r="H12" s="59" t="s">
        <v>17</v>
      </c>
      <c r="I12" s="445">
        <v>45977</v>
      </c>
      <c r="J12" s="176"/>
    </row>
    <row r="13" spans="2:13" ht="25.2" customHeight="1" x14ac:dyDescent="0.6">
      <c r="B13" s="109">
        <v>6</v>
      </c>
      <c r="C13" s="54" t="s">
        <v>395</v>
      </c>
      <c r="D13" s="58">
        <v>20</v>
      </c>
      <c r="E13" s="54" t="s">
        <v>402</v>
      </c>
      <c r="F13" s="54"/>
      <c r="G13" s="71">
        <v>79340.25</v>
      </c>
      <c r="H13" s="59" t="s">
        <v>17</v>
      </c>
      <c r="I13" s="445">
        <v>45982</v>
      </c>
      <c r="J13" s="175"/>
    </row>
    <row r="14" spans="2:13" ht="25.2" customHeight="1" x14ac:dyDescent="0.6">
      <c r="B14" s="109">
        <v>8</v>
      </c>
      <c r="C14" s="55" t="s">
        <v>334</v>
      </c>
      <c r="D14" s="58">
        <v>50</v>
      </c>
      <c r="E14" s="54" t="s">
        <v>262</v>
      </c>
      <c r="F14" s="55"/>
      <c r="G14" s="71">
        <v>600</v>
      </c>
      <c r="H14" s="59" t="s">
        <v>17</v>
      </c>
      <c r="I14" s="445">
        <v>45982</v>
      </c>
      <c r="J14" s="175"/>
    </row>
    <row r="15" spans="2:13" ht="25.2" customHeight="1" x14ac:dyDescent="0.6">
      <c r="B15" s="108">
        <v>9</v>
      </c>
      <c r="C15" s="55"/>
      <c r="D15" s="58">
        <v>10</v>
      </c>
      <c r="E15" s="54" t="s">
        <v>429</v>
      </c>
      <c r="F15" s="55"/>
      <c r="G15" s="71">
        <v>3400</v>
      </c>
      <c r="H15" s="59" t="s">
        <v>17</v>
      </c>
      <c r="I15" s="445">
        <v>46001</v>
      </c>
      <c r="J15" s="175"/>
    </row>
    <row r="16" spans="2:13" ht="25.2" customHeight="1" x14ac:dyDescent="0.6">
      <c r="B16" s="109">
        <v>10</v>
      </c>
      <c r="C16" s="55"/>
      <c r="D16" s="447">
        <v>80</v>
      </c>
      <c r="E16" s="448" t="s">
        <v>428</v>
      </c>
      <c r="F16" s="55"/>
      <c r="G16" s="71">
        <v>450</v>
      </c>
      <c r="H16" s="59" t="s">
        <v>17</v>
      </c>
      <c r="I16" s="445">
        <v>46001</v>
      </c>
      <c r="J16" s="175"/>
    </row>
    <row r="17" spans="2:10" ht="25.2" customHeight="1" x14ac:dyDescent="0.6">
      <c r="B17" s="109">
        <v>11</v>
      </c>
      <c r="C17" s="55"/>
      <c r="D17" s="447">
        <v>20</v>
      </c>
      <c r="E17" s="448" t="s">
        <v>474</v>
      </c>
      <c r="F17" s="55"/>
      <c r="G17" s="71">
        <v>102020.88</v>
      </c>
      <c r="H17" s="59" t="s">
        <v>17</v>
      </c>
      <c r="I17" s="445">
        <v>46001</v>
      </c>
      <c r="J17" s="175"/>
    </row>
    <row r="18" spans="2:10" ht="25.2" customHeight="1" x14ac:dyDescent="0.6">
      <c r="B18" s="109">
        <v>12</v>
      </c>
      <c r="C18" s="55"/>
      <c r="D18" s="447">
        <v>20</v>
      </c>
      <c r="E18" s="448" t="s">
        <v>473</v>
      </c>
      <c r="F18" s="55"/>
      <c r="G18" s="71">
        <v>98874.75</v>
      </c>
      <c r="H18" s="59" t="s">
        <v>17</v>
      </c>
      <c r="I18" s="445">
        <v>46009</v>
      </c>
      <c r="J18" s="175"/>
    </row>
    <row r="19" spans="2:10" ht="25.2" customHeight="1" x14ac:dyDescent="0.6">
      <c r="B19" s="109"/>
      <c r="C19" s="55"/>
      <c r="D19" s="447"/>
      <c r="E19" s="448"/>
      <c r="F19" s="55"/>
      <c r="G19" s="71"/>
      <c r="H19" s="59"/>
      <c r="I19" s="445"/>
      <c r="J19" s="175"/>
    </row>
    <row r="20" spans="2:10" ht="25.2" customHeight="1" x14ac:dyDescent="0.6">
      <c r="B20" s="109"/>
      <c r="C20" s="55"/>
      <c r="D20" s="447"/>
      <c r="E20" s="448"/>
      <c r="F20" s="55"/>
      <c r="G20" s="71"/>
      <c r="H20" s="59"/>
      <c r="I20" s="445"/>
      <c r="J20" s="175"/>
    </row>
    <row r="21" spans="2:10" ht="25.2" customHeight="1" x14ac:dyDescent="0.6">
      <c r="B21" s="109"/>
      <c r="C21" s="55"/>
      <c r="D21" s="447"/>
      <c r="E21" s="448"/>
      <c r="F21" s="55"/>
      <c r="G21" s="71"/>
      <c r="H21" s="59"/>
      <c r="I21" s="445"/>
      <c r="J21" s="175"/>
    </row>
    <row r="22" spans="2:10" ht="25.2" customHeight="1" x14ac:dyDescent="0.6">
      <c r="B22" s="109"/>
      <c r="C22" s="55"/>
      <c r="D22" s="447"/>
      <c r="E22" s="448"/>
      <c r="F22" s="55"/>
      <c r="G22" s="71"/>
      <c r="H22" s="59"/>
      <c r="I22" s="445"/>
      <c r="J22" s="175"/>
    </row>
    <row r="23" spans="2:10" ht="25.2" customHeight="1" x14ac:dyDescent="0.6">
      <c r="B23" s="109">
        <v>99</v>
      </c>
      <c r="C23" s="55" t="s">
        <v>471</v>
      </c>
      <c r="D23" s="58">
        <v>0</v>
      </c>
      <c r="E23" s="54" t="s">
        <v>472</v>
      </c>
      <c r="F23" s="55"/>
      <c r="G23" s="71">
        <v>117500</v>
      </c>
      <c r="H23" s="59" t="s">
        <v>17</v>
      </c>
      <c r="I23" s="445">
        <v>45962</v>
      </c>
      <c r="J23" s="175"/>
    </row>
    <row r="24" spans="2:10" ht="25.2" customHeight="1" x14ac:dyDescent="0.6">
      <c r="B24" s="108">
        <v>99</v>
      </c>
      <c r="C24" s="55" t="s">
        <v>404</v>
      </c>
      <c r="D24" s="58">
        <v>0</v>
      </c>
      <c r="E24" s="54" t="s">
        <v>472</v>
      </c>
      <c r="F24" s="54"/>
      <c r="G24" s="71">
        <v>48000</v>
      </c>
      <c r="H24" s="59" t="s">
        <v>17</v>
      </c>
      <c r="I24" s="445">
        <v>45962</v>
      </c>
      <c r="J24" s="176"/>
    </row>
    <row r="25" spans="2:10" ht="25.2" customHeight="1" x14ac:dyDescent="0.6">
      <c r="B25" s="108">
        <v>99</v>
      </c>
      <c r="C25" s="55" t="s">
        <v>403</v>
      </c>
      <c r="D25" s="58">
        <v>0</v>
      </c>
      <c r="E25" s="54" t="s">
        <v>472</v>
      </c>
      <c r="F25" s="54"/>
      <c r="G25" s="71">
        <v>104600</v>
      </c>
      <c r="H25" s="59" t="s">
        <v>17</v>
      </c>
      <c r="I25" s="445">
        <v>45962</v>
      </c>
      <c r="J25" s="175"/>
    </row>
    <row r="26" spans="2:10" ht="25.2" customHeight="1" x14ac:dyDescent="0.6">
      <c r="B26" s="108">
        <v>99</v>
      </c>
      <c r="C26" s="55" t="s">
        <v>430</v>
      </c>
      <c r="D26" s="58">
        <v>0</v>
      </c>
      <c r="E26" s="54" t="s">
        <v>472</v>
      </c>
      <c r="F26" s="54"/>
      <c r="G26" s="71">
        <v>101000</v>
      </c>
      <c r="H26" s="59" t="s">
        <v>17</v>
      </c>
      <c r="I26" s="445">
        <v>45962</v>
      </c>
      <c r="J26" s="175"/>
    </row>
    <row r="27" spans="2:10" ht="18" x14ac:dyDescent="0.45">
      <c r="B27" s="7"/>
      <c r="C27" s="12"/>
      <c r="D27" s="9"/>
      <c r="E27" s="9"/>
      <c r="F27" s="32" t="s">
        <v>18</v>
      </c>
      <c r="G27" s="33">
        <f>SUM(G9:G19)</f>
        <v>350920.28</v>
      </c>
      <c r="H27" s="12"/>
      <c r="I27" s="7"/>
    </row>
    <row r="28" spans="2:10" ht="18" x14ac:dyDescent="0.45">
      <c r="B28" s="7"/>
      <c r="C28" s="12"/>
      <c r="D28" s="9"/>
      <c r="E28" s="9"/>
      <c r="F28" s="34" t="s">
        <v>19</v>
      </c>
      <c r="G28" s="35">
        <f>$C$6-G27</f>
        <v>20179.719999999972</v>
      </c>
      <c r="H28" s="12"/>
      <c r="I28" s="7"/>
    </row>
    <row r="29" spans="2:10" ht="18" x14ac:dyDescent="0.45">
      <c r="B29" s="7"/>
      <c r="C29" s="12"/>
      <c r="D29" s="9"/>
      <c r="E29" s="9"/>
      <c r="F29" s="12"/>
      <c r="G29" s="12"/>
      <c r="H29" s="12"/>
      <c r="I29" s="7"/>
    </row>
    <row r="30" spans="2:10" ht="18" x14ac:dyDescent="0.45">
      <c r="B30" s="7"/>
      <c r="C30" s="12"/>
      <c r="D30" s="9"/>
      <c r="E30" s="9"/>
      <c r="F30" s="36" t="s">
        <v>20</v>
      </c>
      <c r="G30" s="37">
        <f>G28/C6</f>
        <v>5.437811910536236E-2</v>
      </c>
      <c r="H30" s="38"/>
      <c r="I30" s="7"/>
    </row>
    <row r="31" spans="2:10" ht="26.4" x14ac:dyDescent="0.55000000000000004">
      <c r="B31" s="4"/>
      <c r="C31" s="11"/>
      <c r="D31" s="9"/>
      <c r="E31" s="10"/>
      <c r="F31" s="10"/>
      <c r="G31" s="3"/>
      <c r="H31" s="7"/>
      <c r="I31" s="7"/>
    </row>
    <row r="32" spans="2:10" ht="26.4" x14ac:dyDescent="0.55000000000000004">
      <c r="B32" s="143" t="s">
        <v>79</v>
      </c>
      <c r="C32" s="144" t="str">
        <f>'All Job balance report'!B6</f>
        <v>QMP-2500/001</v>
      </c>
      <c r="D32" s="12"/>
      <c r="E32" s="13"/>
      <c r="F32" s="10"/>
      <c r="G32" s="3"/>
      <c r="H32" s="7"/>
      <c r="I32" s="7"/>
    </row>
    <row r="33" spans="2:9" ht="19.8" x14ac:dyDescent="0.5">
      <c r="B33" s="82" t="s">
        <v>7</v>
      </c>
      <c r="C33" s="94">
        <f>SUMIF($D$9:$D$26,$D$33,$G$9:$G$26)</f>
        <v>371100</v>
      </c>
      <c r="D33" s="15">
        <v>0</v>
      </c>
      <c r="E33" s="17"/>
      <c r="F33" s="18"/>
      <c r="G33" s="18"/>
      <c r="H33" s="18"/>
      <c r="I33" s="18"/>
    </row>
    <row r="34" spans="2:9" x14ac:dyDescent="0.25">
      <c r="B34" s="557" t="s">
        <v>23</v>
      </c>
      <c r="C34" s="557" t="s">
        <v>28</v>
      </c>
      <c r="D34" s="559"/>
      <c r="E34" s="555" t="s">
        <v>13</v>
      </c>
      <c r="F34" s="555" t="s">
        <v>54</v>
      </c>
      <c r="G34" s="555" t="s">
        <v>55</v>
      </c>
      <c r="H34" s="555" t="s">
        <v>56</v>
      </c>
      <c r="I34" s="555" t="s">
        <v>57</v>
      </c>
    </row>
    <row r="35" spans="2:9" x14ac:dyDescent="0.25">
      <c r="B35" s="558"/>
      <c r="C35" s="558"/>
      <c r="D35" s="560"/>
      <c r="E35" s="555"/>
      <c r="F35" s="555"/>
      <c r="G35" s="555"/>
      <c r="H35" s="555"/>
      <c r="I35" s="555"/>
    </row>
    <row r="36" spans="2:9" ht="20.399999999999999" x14ac:dyDescent="0.3">
      <c r="B36" s="73">
        <v>1</v>
      </c>
      <c r="C36" s="77">
        <v>10</v>
      </c>
      <c r="D36" s="77"/>
      <c r="E36" s="83" t="s">
        <v>25</v>
      </c>
      <c r="F36" s="100">
        <v>0</v>
      </c>
      <c r="G36" s="94">
        <f>SUMIF($D$9:$D$26,$C$36,$G$9:$G$26)</f>
        <v>19300</v>
      </c>
      <c r="H36" s="96">
        <f>F36-G36</f>
        <v>-19300</v>
      </c>
      <c r="I36" s="84"/>
    </row>
    <row r="37" spans="2:9" ht="20.399999999999999" x14ac:dyDescent="0.3">
      <c r="B37" s="74">
        <v>2</v>
      </c>
      <c r="C37" s="80">
        <v>20</v>
      </c>
      <c r="D37" s="80"/>
      <c r="E37" s="83" t="s">
        <v>26</v>
      </c>
      <c r="F37" s="100">
        <f>C33</f>
        <v>371100</v>
      </c>
      <c r="G37" s="94">
        <f>SUMIF($D$9:$D$26,$C$37,$G$9:$G$26)</f>
        <v>330570.28000000003</v>
      </c>
      <c r="H37" s="96">
        <f t="shared" ref="H37:H44" si="0">F37-G37</f>
        <v>40529.719999999972</v>
      </c>
      <c r="I37" s="84"/>
    </row>
    <row r="38" spans="2:9" ht="20.399999999999999" x14ac:dyDescent="0.3">
      <c r="B38" s="75">
        <v>3</v>
      </c>
      <c r="C38" s="80">
        <v>30</v>
      </c>
      <c r="D38" s="80"/>
      <c r="E38" s="83" t="s">
        <v>48</v>
      </c>
      <c r="F38" s="100">
        <v>0</v>
      </c>
      <c r="G38" s="94">
        <f>SUMIF($D$9:$D$26,$C$38,$G$9:$G$26)</f>
        <v>0</v>
      </c>
      <c r="H38" s="96">
        <f t="shared" si="0"/>
        <v>0</v>
      </c>
      <c r="I38" s="81"/>
    </row>
    <row r="39" spans="2:9" ht="20.399999999999999" x14ac:dyDescent="0.3">
      <c r="B39" s="75">
        <v>4</v>
      </c>
      <c r="C39" s="80">
        <v>40</v>
      </c>
      <c r="D39" s="80"/>
      <c r="E39" s="83" t="s">
        <v>49</v>
      </c>
      <c r="F39" s="100">
        <v>0</v>
      </c>
      <c r="G39" s="94">
        <f>SUMIF($D$9:$D$26,$C$39,$G$9:$G$26)</f>
        <v>0</v>
      </c>
      <c r="H39" s="96">
        <f t="shared" si="0"/>
        <v>0</v>
      </c>
      <c r="I39" s="81"/>
    </row>
    <row r="40" spans="2:9" ht="20.399999999999999" x14ac:dyDescent="0.3">
      <c r="B40" s="75">
        <v>5</v>
      </c>
      <c r="C40" s="80">
        <v>50</v>
      </c>
      <c r="D40" s="80"/>
      <c r="E40" s="83" t="s">
        <v>47</v>
      </c>
      <c r="F40" s="100">
        <v>0</v>
      </c>
      <c r="G40" s="94">
        <f>SUMIF($D$9:$D$26,$C$40,$G$9:$G$26)</f>
        <v>600</v>
      </c>
      <c r="H40" s="96">
        <f t="shared" si="0"/>
        <v>-600</v>
      </c>
      <c r="I40" s="81"/>
    </row>
    <row r="41" spans="2:9" ht="20.399999999999999" x14ac:dyDescent="0.3">
      <c r="B41" s="76">
        <v>6</v>
      </c>
      <c r="C41" s="80">
        <v>60</v>
      </c>
      <c r="D41" s="80"/>
      <c r="E41" s="83" t="s">
        <v>51</v>
      </c>
      <c r="F41" s="100">
        <v>0</v>
      </c>
      <c r="G41" s="94">
        <f>SUMIF($D$9:$D$26,$C$41,$G$9:$G$26)</f>
        <v>0</v>
      </c>
      <c r="H41" s="96">
        <f t="shared" si="0"/>
        <v>0</v>
      </c>
      <c r="I41" s="81"/>
    </row>
    <row r="42" spans="2:9" ht="20.399999999999999" x14ac:dyDescent="0.3">
      <c r="B42" s="76">
        <v>7</v>
      </c>
      <c r="C42" s="80">
        <v>70</v>
      </c>
      <c r="D42" s="80"/>
      <c r="E42" s="83" t="s">
        <v>52</v>
      </c>
      <c r="F42" s="100">
        <v>0</v>
      </c>
      <c r="G42" s="94">
        <f>SUMIF($D$9:$D$26,$C$42,$G$9:$G$26)</f>
        <v>0</v>
      </c>
      <c r="H42" s="96">
        <f t="shared" si="0"/>
        <v>0</v>
      </c>
      <c r="I42" s="81"/>
    </row>
    <row r="43" spans="2:9" ht="20.399999999999999" x14ac:dyDescent="0.3">
      <c r="B43" s="76">
        <v>8</v>
      </c>
      <c r="C43" s="80">
        <v>80</v>
      </c>
      <c r="D43" s="80"/>
      <c r="E43" s="83" t="s">
        <v>53</v>
      </c>
      <c r="F43" s="100">
        <v>0</v>
      </c>
      <c r="G43" s="94">
        <f>SUMIF($D$9:$D$26,$C$43,$G$9:$G$26)</f>
        <v>450</v>
      </c>
      <c r="H43" s="96">
        <f t="shared" si="0"/>
        <v>-450</v>
      </c>
      <c r="I43" s="81"/>
    </row>
    <row r="44" spans="2:9" ht="20.399999999999999" x14ac:dyDescent="0.3">
      <c r="B44" s="76">
        <v>9</v>
      </c>
      <c r="C44" s="80">
        <v>90</v>
      </c>
      <c r="D44" s="80"/>
      <c r="E44" s="83" t="s">
        <v>369</v>
      </c>
      <c r="F44" s="100">
        <v>0</v>
      </c>
      <c r="G44" s="94">
        <f>SUMIF($D$9:$D$26,$C$44,$G$9:$G$26)</f>
        <v>0</v>
      </c>
      <c r="H44" s="96">
        <f t="shared" si="0"/>
        <v>0</v>
      </c>
      <c r="I44" s="81"/>
    </row>
    <row r="45" spans="2:9" ht="20.399999999999999" x14ac:dyDescent="0.35">
      <c r="B45" s="89"/>
      <c r="C45" s="90"/>
      <c r="D45" s="90"/>
      <c r="E45" s="91" t="s">
        <v>59</v>
      </c>
      <c r="F45" s="92">
        <f>SUM(F36:F44)</f>
        <v>371100</v>
      </c>
      <c r="G45" s="92">
        <f>SUM(G36:G44)</f>
        <v>350920.28</v>
      </c>
      <c r="H45" s="97">
        <f>SUM(H36:H44)</f>
        <v>20179.719999999972</v>
      </c>
      <c r="I45" s="93"/>
    </row>
    <row r="46" spans="2:9" ht="20.399999999999999" x14ac:dyDescent="0.35">
      <c r="B46" s="89"/>
      <c r="C46" s="90"/>
      <c r="D46" s="90"/>
      <c r="E46" s="91" t="s">
        <v>60</v>
      </c>
      <c r="F46" s="88">
        <f>((C33-F45)/C33)</f>
        <v>0</v>
      </c>
      <c r="G46" s="88"/>
      <c r="H46" s="93"/>
      <c r="I46" s="93"/>
    </row>
    <row r="47" spans="2:9" ht="20.399999999999999" x14ac:dyDescent="0.35">
      <c r="B47" s="89"/>
      <c r="C47" s="90"/>
      <c r="D47" s="90"/>
      <c r="E47" s="91" t="s">
        <v>58</v>
      </c>
      <c r="F47" s="92">
        <f>F46*C33</f>
        <v>0</v>
      </c>
      <c r="G47" s="92"/>
      <c r="H47" s="93"/>
      <c r="I47" s="93"/>
    </row>
    <row r="48" spans="2:9" ht="22.2" x14ac:dyDescent="0.35">
      <c r="B48" s="41"/>
      <c r="C48" s="40"/>
      <c r="D48" s="40"/>
      <c r="E48" s="91" t="s">
        <v>68</v>
      </c>
      <c r="F48" s="194">
        <f>C33-G45</f>
        <v>20179.719999999972</v>
      </c>
      <c r="G48" s="95"/>
      <c r="H48" s="81"/>
      <c r="I48" s="81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30" customHeight="1" x14ac:dyDescent="0.25">
      <c r="B50" s="41"/>
      <c r="C50" s="40"/>
      <c r="D50" s="40"/>
      <c r="E50" s="474" t="s">
        <v>423</v>
      </c>
      <c r="F50" s="472">
        <f>F48*0.25</f>
        <v>5044.929999999993</v>
      </c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5" x14ac:dyDescent="0.25">
      <c r="B52" s="41"/>
      <c r="C52" s="40"/>
      <c r="D52" s="40"/>
      <c r="E52" s="40"/>
      <c r="F52" s="40"/>
      <c r="G52" s="42"/>
      <c r="H52" s="43"/>
      <c r="I52" s="43"/>
    </row>
    <row r="53" spans="2:9" ht="18" x14ac:dyDescent="0.45">
      <c r="B53" s="7"/>
      <c r="C53" s="12"/>
      <c r="D53" s="9"/>
      <c r="E53" s="9"/>
      <c r="F53" s="39"/>
      <c r="G53" s="44"/>
      <c r="H53" s="12"/>
      <c r="I53" s="7"/>
    </row>
    <row r="54" spans="2:9" ht="18" x14ac:dyDescent="0.45">
      <c r="B54" s="7"/>
      <c r="C54" s="12"/>
      <c r="D54" s="9"/>
      <c r="E54" s="9"/>
      <c r="F54" s="45"/>
      <c r="G54" s="46"/>
      <c r="H54" s="12"/>
      <c r="I54" s="7"/>
    </row>
    <row r="55" spans="2:9" ht="18" x14ac:dyDescent="0.45">
      <c r="B55" s="7"/>
      <c r="C55" s="12"/>
      <c r="D55" s="9"/>
      <c r="E55" s="9"/>
      <c r="F55" s="12"/>
      <c r="G55" s="12"/>
      <c r="H55" s="12"/>
      <c r="I55" s="7"/>
    </row>
  </sheetData>
  <mergeCells count="8">
    <mergeCell ref="H34:H35"/>
    <mergeCell ref="I34:I35"/>
    <mergeCell ref="E4:F5"/>
    <mergeCell ref="B34:B35"/>
    <mergeCell ref="C34:D35"/>
    <mergeCell ref="E34:E35"/>
    <mergeCell ref="F34:F35"/>
    <mergeCell ref="G34:G35"/>
  </mergeCells>
  <conditionalFormatting sqref="H36:H45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ACA1-E066-47B4-8493-769163BCAF45}">
  <sheetPr>
    <tabColor rgb="FF00B050"/>
    <pageSetUpPr fitToPage="1"/>
  </sheetPr>
  <dimension ref="B1:R47"/>
  <sheetViews>
    <sheetView topLeftCell="C19" zoomScale="55" zoomScaleNormal="55" workbookViewId="0">
      <selection activeCell="H31" sqref="H31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3" max="13" width="12.296875" customWidth="1"/>
    <col min="14" max="17" width="19.296875" customWidth="1"/>
    <col min="18" max="18" width="27.09765625" customWidth="1"/>
  </cols>
  <sheetData>
    <row r="1" spans="2:17" ht="22.2" x14ac:dyDescent="0.35">
      <c r="B1" s="14" t="s">
        <v>0</v>
      </c>
      <c r="C1" s="2" t="str">
        <f>'All Job balance report'!D6</f>
        <v>บริษัท ควอลิตี้ มีท โปรเซสซิ่ง จำกัด</v>
      </c>
      <c r="D1" s="2"/>
      <c r="E1" s="2"/>
      <c r="F1" s="3"/>
      <c r="G1" s="3"/>
      <c r="H1" s="146" t="s">
        <v>1</v>
      </c>
      <c r="I1" s="147">
        <v>45934</v>
      </c>
    </row>
    <row r="2" spans="2:17" ht="22.8" x14ac:dyDescent="0.55000000000000004">
      <c r="B2" s="4" t="s">
        <v>2</v>
      </c>
      <c r="C2" s="5" t="str">
        <f>'All Job balance report'!F6</f>
        <v>งาน PM หม้อแปลง 315kVA</v>
      </c>
      <c r="D2" s="5"/>
      <c r="E2" s="5"/>
      <c r="F2" s="3"/>
      <c r="G2" s="3"/>
      <c r="H2" s="146" t="s">
        <v>3</v>
      </c>
      <c r="I2" s="148"/>
      <c r="N2" s="155" t="s">
        <v>80</v>
      </c>
      <c r="O2" s="155" t="s">
        <v>81</v>
      </c>
      <c r="P2" s="155" t="s">
        <v>82</v>
      </c>
      <c r="Q2" s="155" t="s">
        <v>83</v>
      </c>
    </row>
    <row r="3" spans="2:17" ht="22.2" x14ac:dyDescent="0.55000000000000004">
      <c r="B3" s="4" t="s">
        <v>74</v>
      </c>
      <c r="C3" s="145" t="str">
        <f>C24</f>
        <v>PEK-2500/002</v>
      </c>
      <c r="D3" s="6"/>
      <c r="E3" s="6"/>
      <c r="F3" s="7"/>
      <c r="G3" s="7"/>
      <c r="H3" s="7"/>
      <c r="I3" s="7"/>
      <c r="M3" t="s">
        <v>84</v>
      </c>
      <c r="N3" t="s">
        <v>85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N4" t="s">
        <v>86</v>
      </c>
    </row>
    <row r="5" spans="2:17" ht="22.2" x14ac:dyDescent="0.55000000000000004">
      <c r="B5" s="4" t="s">
        <v>7</v>
      </c>
      <c r="C5" s="11">
        <f>C25</f>
        <v>26000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F37</f>
        <v>18800</v>
      </c>
      <c r="D6" s="12"/>
      <c r="E6" s="13"/>
      <c r="F6" s="10"/>
      <c r="G6" s="3"/>
      <c r="H6" s="7"/>
      <c r="I6" s="7"/>
      <c r="M6" t="s">
        <v>7</v>
      </c>
      <c r="N6" s="158">
        <v>2254569.98</v>
      </c>
      <c r="O6" s="149"/>
      <c r="P6" s="158">
        <v>397867.06</v>
      </c>
      <c r="Q6" s="158">
        <v>513604.21</v>
      </c>
    </row>
    <row r="7" spans="2:17" ht="22.2" x14ac:dyDescent="0.55000000000000004">
      <c r="B7" s="15" t="s">
        <v>9</v>
      </c>
      <c r="C7" s="16">
        <f>(C5-C6)/C5</f>
        <v>0.27692307692307694</v>
      </c>
      <c r="D7" s="15" t="s">
        <v>10</v>
      </c>
      <c r="E7" s="17">
        <v>1</v>
      </c>
      <c r="F7" s="18"/>
      <c r="G7" s="18"/>
      <c r="H7" s="18"/>
      <c r="I7" s="18"/>
      <c r="N7" s="158">
        <v>265430.02</v>
      </c>
      <c r="O7" s="149"/>
      <c r="P7" s="149"/>
      <c r="Q7" s="149"/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N8" s="149"/>
      <c r="O8" s="149"/>
      <c r="P8" s="149"/>
      <c r="Q8" s="149"/>
    </row>
    <row r="9" spans="2:17" ht="23.4" x14ac:dyDescent="0.6">
      <c r="B9" s="108">
        <v>1</v>
      </c>
      <c r="C9" s="54" t="s">
        <v>326</v>
      </c>
      <c r="D9" s="58">
        <v>20</v>
      </c>
      <c r="E9" s="54" t="s">
        <v>382</v>
      </c>
      <c r="F9" s="54"/>
      <c r="G9" s="71">
        <v>10000</v>
      </c>
      <c r="H9" s="59" t="s">
        <v>17</v>
      </c>
      <c r="I9" s="445">
        <v>45979</v>
      </c>
      <c r="J9" s="175"/>
      <c r="N9" s="149"/>
      <c r="O9" s="149"/>
      <c r="P9" s="149"/>
      <c r="Q9" s="149"/>
    </row>
    <row r="10" spans="2:17" ht="23.4" x14ac:dyDescent="0.6">
      <c r="B10" s="109">
        <v>2</v>
      </c>
      <c r="C10" s="55" t="s">
        <v>380</v>
      </c>
      <c r="D10" s="58">
        <v>20</v>
      </c>
      <c r="E10" s="55" t="s">
        <v>381</v>
      </c>
      <c r="F10" s="55"/>
      <c r="G10" s="71">
        <v>6000</v>
      </c>
      <c r="H10" s="59" t="s">
        <v>17</v>
      </c>
      <c r="I10" s="445">
        <v>45978</v>
      </c>
      <c r="J10" s="176"/>
      <c r="N10" s="149"/>
      <c r="O10" s="149"/>
      <c r="P10" s="149"/>
      <c r="Q10" s="149"/>
    </row>
    <row r="11" spans="2:17" ht="23.4" x14ac:dyDescent="0.6">
      <c r="B11" s="108">
        <v>3</v>
      </c>
      <c r="C11" s="55" t="s">
        <v>386</v>
      </c>
      <c r="D11" s="58">
        <v>50</v>
      </c>
      <c r="E11" s="55" t="s">
        <v>383</v>
      </c>
      <c r="F11" s="55"/>
      <c r="G11" s="71">
        <v>607</v>
      </c>
      <c r="H11" s="59" t="s">
        <v>17</v>
      </c>
      <c r="I11" s="445">
        <v>45977</v>
      </c>
      <c r="J11" s="454" t="s">
        <v>366</v>
      </c>
      <c r="N11" s="149"/>
      <c r="O11" s="149"/>
      <c r="P11" s="149"/>
      <c r="Q11" s="149"/>
    </row>
    <row r="12" spans="2:17" ht="23.4" x14ac:dyDescent="0.6">
      <c r="B12" s="109">
        <v>4</v>
      </c>
      <c r="C12" s="55" t="s">
        <v>387</v>
      </c>
      <c r="D12" s="58">
        <v>50</v>
      </c>
      <c r="E12" s="55" t="s">
        <v>262</v>
      </c>
      <c r="F12" s="54"/>
      <c r="G12" s="71">
        <v>460</v>
      </c>
      <c r="H12" s="59" t="s">
        <v>17</v>
      </c>
      <c r="I12" s="445">
        <v>45977</v>
      </c>
      <c r="J12" s="454" t="s">
        <v>366</v>
      </c>
      <c r="N12" s="149"/>
      <c r="O12" s="149"/>
      <c r="P12" s="149"/>
      <c r="Q12" s="149"/>
    </row>
    <row r="13" spans="2:17" ht="25.2" customHeight="1" x14ac:dyDescent="0.6">
      <c r="B13" s="108">
        <v>5</v>
      </c>
      <c r="C13" s="55" t="s">
        <v>388</v>
      </c>
      <c r="D13" s="58">
        <v>40</v>
      </c>
      <c r="E13" s="54" t="s">
        <v>384</v>
      </c>
      <c r="F13" s="54"/>
      <c r="G13" s="71">
        <v>1000</v>
      </c>
      <c r="H13" s="59" t="s">
        <v>17</v>
      </c>
      <c r="I13" s="445">
        <v>45977</v>
      </c>
      <c r="J13" s="175" t="s">
        <v>385</v>
      </c>
    </row>
    <row r="14" spans="2:17" ht="25.2" customHeight="1" x14ac:dyDescent="0.6">
      <c r="B14" s="109">
        <v>6</v>
      </c>
      <c r="C14" s="55"/>
      <c r="D14" s="58"/>
      <c r="E14" s="54"/>
      <c r="F14" s="54"/>
      <c r="G14" s="71"/>
      <c r="H14" s="59"/>
      <c r="I14" s="445"/>
      <c r="J14" s="175"/>
    </row>
    <row r="15" spans="2:17" ht="25.2" customHeight="1" x14ac:dyDescent="0.6">
      <c r="B15" s="108">
        <v>7</v>
      </c>
      <c r="C15" s="55"/>
      <c r="D15" s="58"/>
      <c r="E15" s="54"/>
      <c r="F15" s="55"/>
      <c r="G15" s="71"/>
      <c r="H15" s="59"/>
      <c r="I15" s="445"/>
      <c r="J15" s="175"/>
    </row>
    <row r="16" spans="2:17" ht="25.2" customHeight="1" x14ac:dyDescent="0.6">
      <c r="B16" s="109">
        <v>8</v>
      </c>
      <c r="C16" s="55"/>
      <c r="D16" s="58"/>
      <c r="E16" s="54"/>
      <c r="F16" s="55"/>
      <c r="G16" s="71"/>
      <c r="H16" s="59"/>
      <c r="I16" s="445"/>
      <c r="J16" s="175"/>
    </row>
    <row r="17" spans="2:18" ht="25.2" customHeight="1" x14ac:dyDescent="0.6">
      <c r="B17" s="108">
        <v>9</v>
      </c>
      <c r="C17" s="55"/>
      <c r="D17" s="58"/>
      <c r="E17" s="54"/>
      <c r="F17" s="55"/>
      <c r="G17" s="71"/>
      <c r="H17" s="59"/>
      <c r="I17" s="445"/>
      <c r="J17" s="175"/>
    </row>
    <row r="18" spans="2:18" ht="25.2" customHeight="1" x14ac:dyDescent="0.6">
      <c r="B18" s="109">
        <v>10</v>
      </c>
      <c r="C18" s="55"/>
      <c r="D18" s="447"/>
      <c r="E18" s="448"/>
      <c r="F18" s="55"/>
      <c r="G18" s="71"/>
      <c r="H18" s="59"/>
      <c r="I18" s="445"/>
      <c r="J18" s="175"/>
    </row>
    <row r="19" spans="2:18" ht="18" x14ac:dyDescent="0.45">
      <c r="B19" s="7"/>
      <c r="C19" s="12"/>
      <c r="D19" s="9"/>
      <c r="E19" s="9"/>
      <c r="F19" s="32" t="s">
        <v>18</v>
      </c>
      <c r="G19" s="33">
        <f>SUM(G9:G18)</f>
        <v>18067</v>
      </c>
      <c r="H19" s="12"/>
      <c r="I19" s="7"/>
    </row>
    <row r="20" spans="2:18" ht="18" x14ac:dyDescent="0.45">
      <c r="B20" s="7"/>
      <c r="C20" s="12"/>
      <c r="D20" s="9"/>
      <c r="E20" s="9"/>
      <c r="F20" s="34" t="s">
        <v>19</v>
      </c>
      <c r="G20" s="35">
        <f>$C$6-G19</f>
        <v>733</v>
      </c>
      <c r="H20" s="12"/>
      <c r="I20" s="7"/>
    </row>
    <row r="21" spans="2:18" ht="18" x14ac:dyDescent="0.45">
      <c r="B21" s="7"/>
      <c r="C21" s="12"/>
      <c r="D21" s="9"/>
      <c r="E21" s="9"/>
      <c r="F21" s="12"/>
      <c r="G21" s="12"/>
      <c r="H21" s="12"/>
      <c r="I21" s="7"/>
    </row>
    <row r="22" spans="2:18" ht="18" x14ac:dyDescent="0.45">
      <c r="B22" s="7"/>
      <c r="C22" s="12"/>
      <c r="D22" s="9"/>
      <c r="E22" s="9"/>
      <c r="F22" s="36" t="s">
        <v>20</v>
      </c>
      <c r="G22" s="37">
        <f>G20/C6</f>
        <v>3.8989361702127662E-2</v>
      </c>
      <c r="H22" s="38"/>
      <c r="I22" s="7"/>
    </row>
    <row r="23" spans="2:18" ht="26.4" x14ac:dyDescent="0.55000000000000004">
      <c r="B23" s="4"/>
      <c r="C23" s="11"/>
      <c r="D23" s="9"/>
      <c r="E23" s="10"/>
      <c r="F23" s="10"/>
      <c r="G23" s="3"/>
      <c r="H23" s="7"/>
      <c r="I23" s="7"/>
    </row>
    <row r="24" spans="2:18" ht="26.4" x14ac:dyDescent="0.55000000000000004">
      <c r="B24" s="143" t="s">
        <v>79</v>
      </c>
      <c r="C24" s="144" t="str">
        <f>'All Job balance report'!B4</f>
        <v>PEK-2500/002</v>
      </c>
      <c r="D24" s="12"/>
      <c r="E24" s="13"/>
      <c r="F24" s="10"/>
      <c r="G24" s="3"/>
      <c r="H24" s="7"/>
      <c r="I24" s="7"/>
    </row>
    <row r="25" spans="2:18" ht="22.2" x14ac:dyDescent="0.55000000000000004">
      <c r="B25" s="82" t="s">
        <v>7</v>
      </c>
      <c r="C25" s="85">
        <f>'All Job balance report'!G6</f>
        <v>26000</v>
      </c>
      <c r="D25" s="15"/>
      <c r="E25" s="17"/>
      <c r="F25" s="18"/>
      <c r="G25" s="18"/>
      <c r="H25" s="18"/>
      <c r="I25" s="18"/>
    </row>
    <row r="26" spans="2:18" x14ac:dyDescent="0.25">
      <c r="B26" s="557" t="s">
        <v>23</v>
      </c>
      <c r="C26" s="557" t="s">
        <v>28</v>
      </c>
      <c r="D26" s="559"/>
      <c r="E26" s="555" t="s">
        <v>13</v>
      </c>
      <c r="F26" s="555" t="s">
        <v>54</v>
      </c>
      <c r="G26" s="555" t="s">
        <v>55</v>
      </c>
      <c r="H26" s="555" t="s">
        <v>56</v>
      </c>
      <c r="I26" s="555" t="s">
        <v>57</v>
      </c>
    </row>
    <row r="27" spans="2:18" ht="20.399999999999999" x14ac:dyDescent="0.35">
      <c r="B27" s="558"/>
      <c r="C27" s="558"/>
      <c r="D27" s="560"/>
      <c r="E27" s="555"/>
      <c r="F27" s="555"/>
      <c r="G27" s="555"/>
      <c r="H27" s="555"/>
      <c r="I27" s="555"/>
      <c r="N27" s="156" t="s">
        <v>80</v>
      </c>
      <c r="O27" s="156" t="s">
        <v>81</v>
      </c>
      <c r="P27" s="156" t="s">
        <v>82</v>
      </c>
      <c r="Q27" s="156" t="s">
        <v>83</v>
      </c>
    </row>
    <row r="28" spans="2:18" ht="20.399999999999999" x14ac:dyDescent="0.3">
      <c r="B28" s="73">
        <v>1</v>
      </c>
      <c r="C28" s="77">
        <v>10</v>
      </c>
      <c r="D28" s="77"/>
      <c r="E28" s="83" t="s">
        <v>25</v>
      </c>
      <c r="F28" s="100">
        <v>0</v>
      </c>
      <c r="G28" s="94">
        <f>SUMIF($D$9:$D$18,$C$28,$G$9:$G$18)</f>
        <v>0</v>
      </c>
      <c r="H28" s="96">
        <f>F28-G28</f>
        <v>0</v>
      </c>
      <c r="I28" s="84"/>
      <c r="N28" s="150">
        <f>1391385.86+550222.39</f>
        <v>1941608.25</v>
      </c>
      <c r="O28" s="157">
        <v>187326.21</v>
      </c>
      <c r="P28" s="154">
        <v>171283.81</v>
      </c>
      <c r="Q28" s="154">
        <v>229202.12</v>
      </c>
      <c r="R28" s="151">
        <f t="shared" ref="R28:R37" si="0">SUM(N28:Q28)</f>
        <v>2529420.39</v>
      </c>
    </row>
    <row r="29" spans="2:18" ht="20.399999999999999" x14ac:dyDescent="0.3">
      <c r="B29" s="74">
        <v>2</v>
      </c>
      <c r="C29" s="80">
        <v>20</v>
      </c>
      <c r="D29" s="80"/>
      <c r="E29" s="83" t="s">
        <v>26</v>
      </c>
      <c r="F29" s="100">
        <v>16000</v>
      </c>
      <c r="G29" s="94">
        <f>SUMIF($D$9:$D$18,$C$29,$G$9:$G$18)</f>
        <v>16000</v>
      </c>
      <c r="H29" s="96">
        <f t="shared" ref="H29:H36" si="1">F29-G29</f>
        <v>0</v>
      </c>
      <c r="I29" s="84"/>
      <c r="N29" s="150">
        <f>125499.72+40000-N32</f>
        <v>100499.72</v>
      </c>
      <c r="O29" s="157">
        <f>129657.59-O32</f>
        <v>79657.59</v>
      </c>
      <c r="P29" s="154">
        <f>119025.22-P32</f>
        <v>69025.22</v>
      </c>
      <c r="Q29" s="154">
        <f>145843.83-Q32</f>
        <v>115843.82999999999</v>
      </c>
      <c r="R29" s="151">
        <f t="shared" si="0"/>
        <v>365026.36</v>
      </c>
    </row>
    <row r="30" spans="2:18" ht="20.399999999999999" x14ac:dyDescent="0.3">
      <c r="B30" s="75">
        <v>3</v>
      </c>
      <c r="C30" s="80">
        <v>30</v>
      </c>
      <c r="D30" s="80"/>
      <c r="E30" s="83" t="s">
        <v>48</v>
      </c>
      <c r="F30" s="100">
        <f t="shared" ref="F30:F34" si="2">R30</f>
        <v>0</v>
      </c>
      <c r="G30" s="94">
        <f>SUMIF($D$9:$D$18,$C$30,$G$9:$G$18)</f>
        <v>0</v>
      </c>
      <c r="H30" s="96">
        <f t="shared" si="1"/>
        <v>0</v>
      </c>
      <c r="I30" s="81"/>
      <c r="N30" s="150"/>
      <c r="O30" s="157"/>
      <c r="P30" s="154"/>
      <c r="Q30" s="154"/>
      <c r="R30" s="151">
        <f t="shared" si="0"/>
        <v>0</v>
      </c>
    </row>
    <row r="31" spans="2:18" ht="20.399999999999999" x14ac:dyDescent="0.3">
      <c r="B31" s="75">
        <v>4</v>
      </c>
      <c r="C31" s="80">
        <v>40</v>
      </c>
      <c r="D31" s="80"/>
      <c r="E31" s="83" t="s">
        <v>49</v>
      </c>
      <c r="F31" s="100">
        <v>1000</v>
      </c>
      <c r="G31" s="94">
        <f>SUMIF($D$9:$D$18,$C$31,$G$9:$G$18)</f>
        <v>1000</v>
      </c>
      <c r="H31" s="96">
        <f t="shared" si="1"/>
        <v>0</v>
      </c>
      <c r="I31" s="81"/>
      <c r="N31" s="150"/>
      <c r="O31" s="157"/>
      <c r="P31" s="154"/>
      <c r="Q31" s="154"/>
      <c r="R31" s="151">
        <f t="shared" si="0"/>
        <v>0</v>
      </c>
    </row>
    <row r="32" spans="2:18" ht="20.399999999999999" x14ac:dyDescent="0.3">
      <c r="B32" s="75">
        <v>5</v>
      </c>
      <c r="C32" s="80">
        <v>50</v>
      </c>
      <c r="D32" s="80"/>
      <c r="E32" s="83" t="s">
        <v>47</v>
      </c>
      <c r="F32" s="100">
        <v>1800</v>
      </c>
      <c r="G32" s="94">
        <f>SUMIF($D$9:$D$18,$C$32,$G$9:$G$18)</f>
        <v>1067</v>
      </c>
      <c r="H32" s="96">
        <f t="shared" si="1"/>
        <v>733</v>
      </c>
      <c r="I32" s="81"/>
      <c r="N32" s="150">
        <v>65000</v>
      </c>
      <c r="O32" s="157">
        <v>50000</v>
      </c>
      <c r="P32" s="154">
        <v>50000</v>
      </c>
      <c r="Q32" s="154">
        <v>30000</v>
      </c>
      <c r="R32" s="151">
        <f t="shared" si="0"/>
        <v>195000</v>
      </c>
    </row>
    <row r="33" spans="2:18" ht="20.399999999999999" x14ac:dyDescent="0.3">
      <c r="B33" s="76">
        <v>6</v>
      </c>
      <c r="C33" s="80">
        <v>60</v>
      </c>
      <c r="D33" s="80"/>
      <c r="E33" s="83" t="s">
        <v>51</v>
      </c>
      <c r="F33" s="100">
        <v>0</v>
      </c>
      <c r="G33" s="94">
        <f>SUMIF($D$9:$D$18,$C$33,$G$9:$G$18)</f>
        <v>0</v>
      </c>
      <c r="H33" s="96">
        <f t="shared" si="1"/>
        <v>0</v>
      </c>
      <c r="I33" s="81"/>
      <c r="N33" s="150"/>
      <c r="O33" s="150"/>
      <c r="P33" s="150"/>
      <c r="Q33" s="150"/>
      <c r="R33" s="151">
        <f t="shared" si="0"/>
        <v>0</v>
      </c>
    </row>
    <row r="34" spans="2:18" ht="20.399999999999999" x14ac:dyDescent="0.3">
      <c r="B34" s="76">
        <v>7</v>
      </c>
      <c r="C34" s="80">
        <v>70</v>
      </c>
      <c r="D34" s="80"/>
      <c r="E34" s="83" t="s">
        <v>52</v>
      </c>
      <c r="F34" s="100">
        <f t="shared" si="2"/>
        <v>0</v>
      </c>
      <c r="G34" s="94">
        <f>SUMIF($D$9:$D$18,$C$34,$G$9:$G$18)</f>
        <v>0</v>
      </c>
      <c r="H34" s="96">
        <f t="shared" si="1"/>
        <v>0</v>
      </c>
      <c r="I34" s="81"/>
      <c r="N34" s="150"/>
      <c r="O34" s="150"/>
      <c r="P34" s="150"/>
      <c r="Q34" s="150"/>
      <c r="R34" s="151">
        <f t="shared" si="0"/>
        <v>0</v>
      </c>
    </row>
    <row r="35" spans="2:18" ht="20.399999999999999" x14ac:dyDescent="0.3">
      <c r="B35" s="76">
        <v>8</v>
      </c>
      <c r="C35" s="80">
        <v>80</v>
      </c>
      <c r="D35" s="80"/>
      <c r="E35" s="83" t="s">
        <v>53</v>
      </c>
      <c r="F35" s="100">
        <v>0</v>
      </c>
      <c r="G35" s="94">
        <f>SUMIF($D$9:$D$18,$C$35,$G$9:$G$18)</f>
        <v>0</v>
      </c>
      <c r="H35" s="96">
        <f t="shared" si="1"/>
        <v>0</v>
      </c>
      <c r="I35" s="81"/>
      <c r="N35" s="150"/>
      <c r="O35" s="150"/>
      <c r="P35" s="150"/>
      <c r="Q35" s="150"/>
      <c r="R35" s="151">
        <f t="shared" ref="R35" si="3">SUM(N35:Q35)</f>
        <v>0</v>
      </c>
    </row>
    <row r="36" spans="2:18" ht="20.399999999999999" x14ac:dyDescent="0.3">
      <c r="B36" s="76">
        <v>9</v>
      </c>
      <c r="C36" s="80">
        <v>90</v>
      </c>
      <c r="D36" s="80"/>
      <c r="E36" s="83" t="s">
        <v>369</v>
      </c>
      <c r="F36" s="100">
        <v>0</v>
      </c>
      <c r="G36" s="94">
        <f>SUMIF($D$9:$D$18,$C$36,$G$9:$G$18)</f>
        <v>0</v>
      </c>
      <c r="H36" s="96">
        <f t="shared" si="1"/>
        <v>0</v>
      </c>
      <c r="I36" s="81"/>
      <c r="N36" s="150"/>
      <c r="O36" s="150"/>
      <c r="P36" s="150"/>
      <c r="Q36" s="150"/>
      <c r="R36" s="151">
        <f t="shared" si="0"/>
        <v>0</v>
      </c>
    </row>
    <row r="37" spans="2:18" ht="20.399999999999999" x14ac:dyDescent="0.35">
      <c r="B37" s="89"/>
      <c r="C37" s="90"/>
      <c r="D37" s="90"/>
      <c r="E37" s="91" t="s">
        <v>59</v>
      </c>
      <c r="F37" s="92">
        <f>SUM(F28:F36)</f>
        <v>18800</v>
      </c>
      <c r="G37" s="92">
        <f>SUM(G28:G36)</f>
        <v>18067</v>
      </c>
      <c r="H37" s="97">
        <f>SUM(H28:H36)</f>
        <v>733</v>
      </c>
      <c r="I37" s="93"/>
      <c r="N37" s="150"/>
      <c r="O37" s="150"/>
      <c r="P37" s="150"/>
      <c r="Q37" s="150"/>
      <c r="R37" s="151">
        <f t="shared" si="0"/>
        <v>0</v>
      </c>
    </row>
    <row r="38" spans="2:18" ht="20.399999999999999" x14ac:dyDescent="0.35">
      <c r="B38" s="89"/>
      <c r="C38" s="90"/>
      <c r="D38" s="90"/>
      <c r="E38" s="91" t="s">
        <v>60</v>
      </c>
      <c r="F38" s="88">
        <f>((C25-F37)/C25)</f>
        <v>0.27692307692307694</v>
      </c>
      <c r="G38" s="88"/>
      <c r="H38" s="93"/>
      <c r="I38" s="93"/>
    </row>
    <row r="39" spans="2:18" ht="21" thickBot="1" x14ac:dyDescent="0.4">
      <c r="B39" s="89"/>
      <c r="C39" s="90"/>
      <c r="D39" s="90"/>
      <c r="E39" s="91" t="s">
        <v>58</v>
      </c>
      <c r="F39" s="92">
        <f>F38*C25</f>
        <v>7200</v>
      </c>
      <c r="G39" s="92"/>
      <c r="H39" s="93"/>
      <c r="I39" s="93"/>
      <c r="N39" s="153">
        <f>SUM(N28:N38)</f>
        <v>2107107.9699999997</v>
      </c>
      <c r="O39" s="153">
        <f t="shared" ref="O39:Q39" si="4">SUM(O28:O38)</f>
        <v>316983.8</v>
      </c>
      <c r="P39" s="153">
        <f t="shared" si="4"/>
        <v>290309.03000000003</v>
      </c>
      <c r="Q39" s="153">
        <f t="shared" si="4"/>
        <v>375045.94999999995</v>
      </c>
      <c r="R39" s="151">
        <f>SUM(N39:Q39)</f>
        <v>3089446.75</v>
      </c>
    </row>
    <row r="40" spans="2:18" ht="22.8" thickTop="1" x14ac:dyDescent="0.35">
      <c r="B40" s="41"/>
      <c r="C40" s="40"/>
      <c r="D40" s="40"/>
      <c r="E40" s="91" t="s">
        <v>68</v>
      </c>
      <c r="F40" s="194">
        <f>C25-G37</f>
        <v>7933</v>
      </c>
      <c r="G40" s="95"/>
      <c r="H40" s="81"/>
      <c r="I40" s="81"/>
    </row>
    <row r="41" spans="2:18" ht="15" x14ac:dyDescent="0.25">
      <c r="B41" s="41"/>
      <c r="C41" s="40"/>
      <c r="D41" s="40"/>
      <c r="E41" s="40"/>
      <c r="F41" s="40"/>
      <c r="G41" s="42"/>
      <c r="H41" s="43"/>
      <c r="I41" s="43"/>
    </row>
    <row r="42" spans="2:18" ht="36.6" customHeight="1" x14ac:dyDescent="0.25">
      <c r="B42" s="41"/>
      <c r="C42" s="40"/>
      <c r="D42" s="40"/>
      <c r="E42" s="474" t="s">
        <v>423</v>
      </c>
      <c r="F42" s="472">
        <f>F40*0.25</f>
        <v>1983.25</v>
      </c>
      <c r="G42" s="42"/>
      <c r="H42" s="43"/>
      <c r="I42" s="43"/>
    </row>
    <row r="43" spans="2:18" ht="15" x14ac:dyDescent="0.25">
      <c r="B43" s="41"/>
      <c r="C43" s="40"/>
      <c r="D43" s="40"/>
      <c r="E43" s="40"/>
      <c r="F43" s="40"/>
      <c r="G43" s="42"/>
      <c r="H43" s="43"/>
      <c r="I43" s="43"/>
    </row>
    <row r="44" spans="2:18" ht="15" x14ac:dyDescent="0.25">
      <c r="B44" s="41"/>
      <c r="C44" s="40"/>
      <c r="D44" s="40"/>
      <c r="E44" s="40"/>
      <c r="F44" s="40"/>
      <c r="G44" s="42"/>
      <c r="H44" s="43"/>
      <c r="I44" s="43"/>
    </row>
    <row r="45" spans="2:18" ht="18" x14ac:dyDescent="0.45">
      <c r="B45" s="7"/>
      <c r="C45" s="12"/>
      <c r="D45" s="9"/>
      <c r="E45" s="9"/>
      <c r="F45" s="39"/>
      <c r="G45" s="44"/>
      <c r="H45" s="12"/>
      <c r="I45" s="7"/>
    </row>
    <row r="46" spans="2:18" ht="18" x14ac:dyDescent="0.45">
      <c r="B46" s="7"/>
      <c r="C46" s="12"/>
      <c r="D46" s="9"/>
      <c r="E46" s="9"/>
      <c r="F46" s="45"/>
      <c r="G46" s="46"/>
      <c r="H46" s="12"/>
      <c r="I46" s="7"/>
    </row>
    <row r="47" spans="2:18" ht="18" x14ac:dyDescent="0.45">
      <c r="B47" s="7"/>
      <c r="C47" s="12"/>
      <c r="D47" s="9"/>
      <c r="E47" s="9"/>
      <c r="F47" s="12"/>
      <c r="G47" s="12"/>
      <c r="H47" s="12"/>
      <c r="I47" s="7"/>
    </row>
  </sheetData>
  <mergeCells count="8">
    <mergeCell ref="H26:H27"/>
    <mergeCell ref="I26:I27"/>
    <mergeCell ref="E4:F5"/>
    <mergeCell ref="B26:B27"/>
    <mergeCell ref="C26:D27"/>
    <mergeCell ref="E26:E27"/>
    <mergeCell ref="F26:F27"/>
    <mergeCell ref="G26:G27"/>
  </mergeCells>
  <conditionalFormatting sqref="H28:H37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4FF5-0033-4E83-AA95-A9C669A5FF53}">
  <sheetPr>
    <tabColor rgb="FF00B050"/>
    <pageSetUpPr fitToPage="1"/>
  </sheetPr>
  <dimension ref="B1:R54"/>
  <sheetViews>
    <sheetView zoomScale="55" zoomScaleNormal="55" workbookViewId="0">
      <selection activeCell="L23" sqref="L23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8" customWidth="1"/>
    <col min="13" max="13" width="12.296875" customWidth="1"/>
    <col min="14" max="17" width="19.296875" customWidth="1"/>
    <col min="18" max="18" width="27.09765625" customWidth="1"/>
  </cols>
  <sheetData>
    <row r="1" spans="2:17" ht="22.2" x14ac:dyDescent="0.35">
      <c r="B1" s="14" t="s">
        <v>0</v>
      </c>
      <c r="C1" s="2" t="str">
        <f>'All Job balance report'!D5</f>
        <v>PK Engineering Solution Service Co., Ltd.</v>
      </c>
      <c r="D1" s="2"/>
      <c r="E1" s="2"/>
      <c r="F1" s="3"/>
      <c r="G1" s="3"/>
      <c r="H1" s="146" t="s">
        <v>1</v>
      </c>
      <c r="I1" s="147">
        <v>45934</v>
      </c>
    </row>
    <row r="2" spans="2:17" ht="22.8" x14ac:dyDescent="0.55000000000000004">
      <c r="B2" s="4" t="s">
        <v>2</v>
      </c>
      <c r="C2" s="5" t="str">
        <f>'All Job balance report'!F5</f>
        <v>งานติดตั้งตู้ และทำ Tray รสา 1 ชั้น 18 19</v>
      </c>
      <c r="D2" s="5"/>
      <c r="E2" s="5"/>
      <c r="F2" s="3"/>
      <c r="G2" s="3"/>
      <c r="H2" s="146" t="s">
        <v>3</v>
      </c>
      <c r="I2" s="148"/>
      <c r="N2" s="155" t="s">
        <v>80</v>
      </c>
      <c r="O2" s="155" t="s">
        <v>81</v>
      </c>
      <c r="P2" s="155" t="s">
        <v>82</v>
      </c>
      <c r="Q2" s="155" t="s">
        <v>83</v>
      </c>
    </row>
    <row r="3" spans="2:17" ht="22.2" x14ac:dyDescent="0.55000000000000004">
      <c r="B3" s="4" t="s">
        <v>74</v>
      </c>
      <c r="C3" s="145" t="str">
        <f>C31</f>
        <v>PEK-2500/002</v>
      </c>
      <c r="D3" s="6"/>
      <c r="E3" s="6"/>
      <c r="F3" s="7"/>
      <c r="G3" s="7"/>
      <c r="H3" s="7"/>
      <c r="I3" s="7"/>
      <c r="M3" t="s">
        <v>84</v>
      </c>
      <c r="N3" t="s">
        <v>85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N4" t="s">
        <v>86</v>
      </c>
    </row>
    <row r="5" spans="2:17" ht="22.2" x14ac:dyDescent="0.55000000000000004">
      <c r="B5" s="4" t="s">
        <v>7</v>
      </c>
      <c r="C5" s="11">
        <f>C32</f>
        <v>32460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F44</f>
        <v>24400</v>
      </c>
      <c r="D6" s="12"/>
      <c r="E6" s="13"/>
      <c r="F6" s="10"/>
      <c r="G6" s="3"/>
      <c r="H6" s="7"/>
      <c r="I6" s="7"/>
      <c r="M6" t="s">
        <v>7</v>
      </c>
      <c r="N6" s="158">
        <v>2254569.98</v>
      </c>
      <c r="O6" s="149"/>
      <c r="P6" s="158">
        <v>397867.06</v>
      </c>
      <c r="Q6" s="158">
        <v>513604.21</v>
      </c>
    </row>
    <row r="7" spans="2:17" ht="22.2" x14ac:dyDescent="0.55000000000000004">
      <c r="B7" s="15" t="s">
        <v>9</v>
      </c>
      <c r="C7" s="16">
        <f>(C5-C6)/C5</f>
        <v>0.24830560690080097</v>
      </c>
      <c r="D7" s="15" t="s">
        <v>10</v>
      </c>
      <c r="E7" s="17">
        <v>1</v>
      </c>
      <c r="F7" s="18"/>
      <c r="G7" s="18"/>
      <c r="H7" s="18"/>
      <c r="I7" s="18"/>
      <c r="N7" s="158">
        <v>265430.02</v>
      </c>
      <c r="O7" s="149"/>
      <c r="P7" s="149"/>
      <c r="Q7" s="149"/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N8" s="149"/>
      <c r="O8" s="149"/>
      <c r="P8" s="149"/>
      <c r="Q8" s="149"/>
    </row>
    <row r="9" spans="2:17" ht="23.4" x14ac:dyDescent="0.6">
      <c r="B9" s="108">
        <v>1</v>
      </c>
      <c r="C9" s="54" t="s">
        <v>117</v>
      </c>
      <c r="D9" s="58">
        <v>10</v>
      </c>
      <c r="E9" s="54" t="s">
        <v>349</v>
      </c>
      <c r="F9" s="54" t="s">
        <v>350</v>
      </c>
      <c r="G9" s="71">
        <v>1092</v>
      </c>
      <c r="H9" s="59" t="s">
        <v>17</v>
      </c>
      <c r="I9" s="445">
        <v>45934</v>
      </c>
      <c r="J9" s="175"/>
      <c r="N9" s="149"/>
      <c r="O9" s="149"/>
      <c r="P9" s="149"/>
      <c r="Q9" s="149"/>
    </row>
    <row r="10" spans="2:17" ht="23.4" x14ac:dyDescent="0.6">
      <c r="B10" s="109">
        <v>2</v>
      </c>
      <c r="C10" s="55" t="s">
        <v>355</v>
      </c>
      <c r="D10" s="58">
        <v>10</v>
      </c>
      <c r="E10" s="55" t="s">
        <v>356</v>
      </c>
      <c r="F10" s="55"/>
      <c r="G10" s="71">
        <v>3318</v>
      </c>
      <c r="H10" s="59" t="s">
        <v>17</v>
      </c>
      <c r="I10" s="445">
        <v>45941</v>
      </c>
      <c r="J10" s="176"/>
      <c r="N10" s="149"/>
      <c r="O10" s="149"/>
      <c r="P10" s="149"/>
      <c r="Q10" s="149"/>
    </row>
    <row r="11" spans="2:17" ht="23.4" x14ac:dyDescent="0.6">
      <c r="B11" s="108">
        <v>3</v>
      </c>
      <c r="C11" s="55"/>
      <c r="D11" s="58">
        <v>10</v>
      </c>
      <c r="E11" s="55" t="s">
        <v>361</v>
      </c>
      <c r="F11" s="55"/>
      <c r="G11" s="71">
        <v>1214.45</v>
      </c>
      <c r="H11" s="59" t="s">
        <v>17</v>
      </c>
      <c r="I11" s="445">
        <v>45945</v>
      </c>
      <c r="J11" s="175"/>
      <c r="N11" s="149"/>
      <c r="O11" s="149"/>
      <c r="P11" s="149"/>
      <c r="Q11" s="149"/>
    </row>
    <row r="12" spans="2:17" ht="23.4" x14ac:dyDescent="0.6">
      <c r="B12" s="109">
        <v>4</v>
      </c>
      <c r="C12" s="55"/>
      <c r="D12" s="58">
        <v>50</v>
      </c>
      <c r="E12" s="54" t="s">
        <v>362</v>
      </c>
      <c r="F12" s="54"/>
      <c r="G12" s="56">
        <v>280</v>
      </c>
      <c r="H12" s="59" t="s">
        <v>17</v>
      </c>
      <c r="I12" s="445">
        <v>45945</v>
      </c>
      <c r="J12" s="454" t="s">
        <v>366</v>
      </c>
      <c r="N12" s="149"/>
      <c r="O12" s="149"/>
      <c r="P12" s="149"/>
      <c r="Q12" s="149"/>
    </row>
    <row r="13" spans="2:17" ht="25.2" customHeight="1" x14ac:dyDescent="0.6">
      <c r="B13" s="108">
        <v>5</v>
      </c>
      <c r="C13" s="55"/>
      <c r="D13" s="58">
        <v>50</v>
      </c>
      <c r="E13" s="54" t="s">
        <v>363</v>
      </c>
      <c r="F13" s="54"/>
      <c r="G13" s="56">
        <v>280</v>
      </c>
      <c r="H13" s="59" t="s">
        <v>17</v>
      </c>
      <c r="I13" s="445">
        <v>45945</v>
      </c>
      <c r="J13" s="454" t="s">
        <v>366</v>
      </c>
    </row>
    <row r="14" spans="2:17" ht="25.2" customHeight="1" x14ac:dyDescent="0.6">
      <c r="B14" s="109">
        <v>6</v>
      </c>
      <c r="C14" s="55"/>
      <c r="D14" s="58">
        <v>20</v>
      </c>
      <c r="E14" s="54" t="s">
        <v>364</v>
      </c>
      <c r="F14" s="54"/>
      <c r="G14" s="56">
        <v>6780</v>
      </c>
      <c r="H14" s="59" t="s">
        <v>17</v>
      </c>
      <c r="I14" s="445">
        <v>45945</v>
      </c>
      <c r="J14" s="175"/>
    </row>
    <row r="15" spans="2:17" ht="25.2" customHeight="1" x14ac:dyDescent="0.6">
      <c r="B15" s="108">
        <v>7</v>
      </c>
      <c r="C15" s="55"/>
      <c r="D15" s="58">
        <v>20</v>
      </c>
      <c r="E15" s="54" t="s">
        <v>365</v>
      </c>
      <c r="F15" s="55"/>
      <c r="G15" s="56">
        <v>181</v>
      </c>
      <c r="H15" s="59" t="s">
        <v>17</v>
      </c>
      <c r="I15" s="445">
        <v>45945</v>
      </c>
      <c r="J15" s="175"/>
    </row>
    <row r="16" spans="2:17" ht="25.2" customHeight="1" x14ac:dyDescent="0.6">
      <c r="B16" s="109">
        <v>8</v>
      </c>
      <c r="C16" s="55"/>
      <c r="D16" s="58">
        <v>20</v>
      </c>
      <c r="E16" s="54" t="s">
        <v>367</v>
      </c>
      <c r="F16" s="55"/>
      <c r="G16" s="56">
        <v>800</v>
      </c>
      <c r="H16" s="59" t="s">
        <v>17</v>
      </c>
      <c r="I16" s="445">
        <v>45947</v>
      </c>
      <c r="J16" s="175"/>
    </row>
    <row r="17" spans="2:10" ht="25.2" customHeight="1" x14ac:dyDescent="0.6">
      <c r="B17" s="108">
        <v>9</v>
      </c>
      <c r="C17" s="55"/>
      <c r="D17" s="58">
        <v>10</v>
      </c>
      <c r="E17" s="54" t="s">
        <v>368</v>
      </c>
      <c r="F17" s="55"/>
      <c r="G17" s="56">
        <v>631.29999999999995</v>
      </c>
      <c r="H17" s="59" t="s">
        <v>17</v>
      </c>
      <c r="I17" s="445">
        <v>45947</v>
      </c>
      <c r="J17" s="175"/>
    </row>
    <row r="18" spans="2:10" ht="25.2" customHeight="1" x14ac:dyDescent="0.6">
      <c r="B18" s="109">
        <v>10</v>
      </c>
      <c r="C18" s="55"/>
      <c r="D18" s="447">
        <v>90</v>
      </c>
      <c r="E18" s="448" t="s">
        <v>370</v>
      </c>
      <c r="F18" s="55"/>
      <c r="G18" s="56">
        <v>2000</v>
      </c>
      <c r="H18" s="59" t="s">
        <v>17</v>
      </c>
      <c r="I18" s="445">
        <v>45947</v>
      </c>
      <c r="J18" s="175"/>
    </row>
    <row r="19" spans="2:10" ht="25.2" customHeight="1" x14ac:dyDescent="0.6">
      <c r="B19" s="108">
        <v>11</v>
      </c>
      <c r="C19" s="28"/>
      <c r="D19" s="449">
        <v>50</v>
      </c>
      <c r="E19" s="54" t="s">
        <v>262</v>
      </c>
      <c r="F19" s="101"/>
      <c r="G19" s="56">
        <v>349.4</v>
      </c>
      <c r="H19" s="59" t="s">
        <v>17</v>
      </c>
      <c r="I19" s="445">
        <v>45947</v>
      </c>
      <c r="J19" s="175"/>
    </row>
    <row r="20" spans="2:10" ht="25.2" customHeight="1" x14ac:dyDescent="0.6">
      <c r="B20" s="108">
        <v>12</v>
      </c>
      <c r="C20" s="28"/>
      <c r="D20" s="449">
        <v>50</v>
      </c>
      <c r="E20" s="54" t="s">
        <v>336</v>
      </c>
      <c r="F20" s="101"/>
      <c r="G20" s="56">
        <v>60</v>
      </c>
      <c r="H20" s="59" t="s">
        <v>17</v>
      </c>
      <c r="I20" s="445">
        <v>45947</v>
      </c>
      <c r="J20" s="175"/>
    </row>
    <row r="21" spans="2:10" ht="25.2" customHeight="1" x14ac:dyDescent="0.6">
      <c r="B21" s="108">
        <v>12</v>
      </c>
      <c r="C21" s="28"/>
      <c r="D21" s="449">
        <v>10</v>
      </c>
      <c r="E21" s="54" t="s">
        <v>373</v>
      </c>
      <c r="F21" s="101"/>
      <c r="G21" s="56">
        <v>1427.5</v>
      </c>
      <c r="H21" s="59" t="s">
        <v>17</v>
      </c>
      <c r="I21" s="445">
        <v>45947</v>
      </c>
      <c r="J21" s="175"/>
    </row>
    <row r="22" spans="2:10" ht="25.2" customHeight="1" x14ac:dyDescent="0.6">
      <c r="B22" s="108">
        <v>12</v>
      </c>
      <c r="C22" s="28"/>
      <c r="D22" s="449">
        <v>10</v>
      </c>
      <c r="E22" s="54" t="s">
        <v>376</v>
      </c>
      <c r="F22" s="101"/>
      <c r="G22" s="56">
        <v>1527.43</v>
      </c>
      <c r="H22" s="59" t="s">
        <v>17</v>
      </c>
      <c r="I22" s="445">
        <v>45979</v>
      </c>
      <c r="J22" s="175"/>
    </row>
    <row r="23" spans="2:10" ht="25.2" customHeight="1" x14ac:dyDescent="0.6">
      <c r="B23" s="108">
        <v>12</v>
      </c>
      <c r="C23" s="28"/>
      <c r="D23" s="449">
        <v>50</v>
      </c>
      <c r="E23" s="54" t="s">
        <v>374</v>
      </c>
      <c r="F23" s="101"/>
      <c r="G23" s="56">
        <v>440</v>
      </c>
      <c r="H23" s="59" t="s">
        <v>17</v>
      </c>
      <c r="I23" s="445">
        <v>45947</v>
      </c>
      <c r="J23" s="175"/>
    </row>
    <row r="24" spans="2:10" ht="25.2" customHeight="1" x14ac:dyDescent="0.6">
      <c r="B24" s="108">
        <v>12</v>
      </c>
      <c r="C24" s="28"/>
      <c r="D24" s="449">
        <v>50</v>
      </c>
      <c r="E24" s="54" t="s">
        <v>375</v>
      </c>
      <c r="F24" s="101"/>
      <c r="G24" s="56">
        <v>3300</v>
      </c>
      <c r="H24" s="59" t="s">
        <v>17</v>
      </c>
      <c r="I24" s="445">
        <v>45947</v>
      </c>
      <c r="J24" s="175"/>
    </row>
    <row r="25" spans="2:10" ht="25.2" customHeight="1" x14ac:dyDescent="0.6">
      <c r="B25" s="108">
        <v>12</v>
      </c>
      <c r="C25" s="28"/>
      <c r="D25" s="449"/>
      <c r="E25" s="54"/>
      <c r="F25" s="101"/>
      <c r="G25" s="56"/>
      <c r="H25" s="59"/>
      <c r="I25" s="445"/>
      <c r="J25" s="175"/>
    </row>
    <row r="26" spans="2:10" ht="18" x14ac:dyDescent="0.45">
      <c r="B26" s="7"/>
      <c r="C26" s="12"/>
      <c r="D26" s="9"/>
      <c r="E26" s="9"/>
      <c r="F26" s="32" t="s">
        <v>18</v>
      </c>
      <c r="G26" s="33">
        <f>SUM(G9:G25)</f>
        <v>23681.08</v>
      </c>
      <c r="H26" s="12"/>
      <c r="I26" s="7"/>
    </row>
    <row r="27" spans="2:10" ht="18" x14ac:dyDescent="0.45">
      <c r="B27" s="7"/>
      <c r="C27" s="12"/>
      <c r="D27" s="9"/>
      <c r="E27" s="9"/>
      <c r="F27" s="34" t="s">
        <v>19</v>
      </c>
      <c r="G27" s="35">
        <f>$C$6-G26</f>
        <v>718.91999999999825</v>
      </c>
      <c r="H27" s="12"/>
      <c r="I27" s="7"/>
    </row>
    <row r="28" spans="2:10" ht="18" x14ac:dyDescent="0.45">
      <c r="B28" s="7"/>
      <c r="C28" s="12"/>
      <c r="D28" s="9"/>
      <c r="E28" s="9"/>
      <c r="F28" s="12"/>
      <c r="G28" s="12"/>
      <c r="H28" s="12"/>
      <c r="I28" s="7"/>
    </row>
    <row r="29" spans="2:10" ht="18" x14ac:dyDescent="0.45">
      <c r="B29" s="7"/>
      <c r="C29" s="12"/>
      <c r="D29" s="9"/>
      <c r="E29" s="9"/>
      <c r="F29" s="36" t="s">
        <v>20</v>
      </c>
      <c r="G29" s="37">
        <f>G27/C6</f>
        <v>2.9463934426229438E-2</v>
      </c>
      <c r="H29" s="38"/>
      <c r="I29" s="7"/>
    </row>
    <row r="30" spans="2:10" ht="26.4" x14ac:dyDescent="0.55000000000000004">
      <c r="B30" s="4"/>
      <c r="C30" s="11"/>
      <c r="D30" s="9"/>
      <c r="E30" s="10"/>
      <c r="F30" s="10"/>
      <c r="G30" s="3"/>
      <c r="H30" s="7"/>
      <c r="I30" s="7"/>
    </row>
    <row r="31" spans="2:10" ht="26.4" x14ac:dyDescent="0.55000000000000004">
      <c r="B31" s="143" t="s">
        <v>79</v>
      </c>
      <c r="C31" s="144" t="str">
        <f>'All Job balance report'!B4</f>
        <v>PEK-2500/002</v>
      </c>
      <c r="D31" s="12"/>
      <c r="E31" s="13"/>
      <c r="F31" s="10"/>
      <c r="G31" s="3"/>
      <c r="H31" s="7"/>
      <c r="I31" s="7"/>
    </row>
    <row r="32" spans="2:10" ht="22.2" x14ac:dyDescent="0.55000000000000004">
      <c r="B32" s="82" t="s">
        <v>7</v>
      </c>
      <c r="C32" s="85">
        <f>'All Job balance report'!G5</f>
        <v>32460</v>
      </c>
      <c r="D32" s="15"/>
      <c r="E32" s="17"/>
      <c r="F32" s="18"/>
      <c r="G32" s="18"/>
      <c r="H32" s="18"/>
      <c r="I32" s="18"/>
    </row>
    <row r="33" spans="2:18" x14ac:dyDescent="0.25">
      <c r="B33" s="557" t="s">
        <v>23</v>
      </c>
      <c r="C33" s="557" t="s">
        <v>28</v>
      </c>
      <c r="D33" s="559"/>
      <c r="E33" s="555" t="s">
        <v>13</v>
      </c>
      <c r="F33" s="555" t="s">
        <v>54</v>
      </c>
      <c r="G33" s="555" t="s">
        <v>55</v>
      </c>
      <c r="H33" s="555" t="s">
        <v>56</v>
      </c>
      <c r="I33" s="555" t="s">
        <v>57</v>
      </c>
    </row>
    <row r="34" spans="2:18" ht="20.399999999999999" x14ac:dyDescent="0.35">
      <c r="B34" s="558"/>
      <c r="C34" s="558"/>
      <c r="D34" s="560"/>
      <c r="E34" s="555"/>
      <c r="F34" s="555"/>
      <c r="G34" s="555"/>
      <c r="H34" s="555"/>
      <c r="I34" s="555"/>
      <c r="N34" s="156" t="s">
        <v>80</v>
      </c>
      <c r="O34" s="156" t="s">
        <v>81</v>
      </c>
      <c r="P34" s="156" t="s">
        <v>82</v>
      </c>
      <c r="Q34" s="156" t="s">
        <v>83</v>
      </c>
    </row>
    <row r="35" spans="2:18" ht="20.399999999999999" x14ac:dyDescent="0.3">
      <c r="B35" s="73">
        <v>1</v>
      </c>
      <c r="C35" s="77">
        <v>10</v>
      </c>
      <c r="D35" s="77"/>
      <c r="E35" s="83" t="s">
        <v>25</v>
      </c>
      <c r="F35" s="100">
        <f>6900+4450</f>
        <v>11350</v>
      </c>
      <c r="G35" s="94">
        <f>SUMIF($D$9:$D$25,$C$35,$G$9:$G$25)</f>
        <v>9210.68</v>
      </c>
      <c r="H35" s="96">
        <f>F35-G35</f>
        <v>2139.3199999999997</v>
      </c>
      <c r="I35" s="84"/>
      <c r="N35" s="150">
        <f>1391385.86+550222.39</f>
        <v>1941608.25</v>
      </c>
      <c r="O35" s="157">
        <v>187326.21</v>
      </c>
      <c r="P35" s="154">
        <v>171283.81</v>
      </c>
      <c r="Q35" s="154">
        <v>229202.12</v>
      </c>
      <c r="R35" s="151">
        <f t="shared" ref="R35:R44" si="0">SUM(N35:Q35)</f>
        <v>2529420.39</v>
      </c>
    </row>
    <row r="36" spans="2:18" ht="20.399999999999999" x14ac:dyDescent="0.3">
      <c r="B36" s="74">
        <v>2</v>
      </c>
      <c r="C36" s="80">
        <v>20</v>
      </c>
      <c r="D36" s="80"/>
      <c r="E36" s="83" t="s">
        <v>26</v>
      </c>
      <c r="F36" s="100">
        <f>6500+3550</f>
        <v>10050</v>
      </c>
      <c r="G36" s="94">
        <f>SUMIF($D$9:$D$25,$C$36,$G$9:$G$25)</f>
        <v>7761</v>
      </c>
      <c r="H36" s="96">
        <f t="shared" ref="H36:H43" si="1">F36-G36</f>
        <v>2289</v>
      </c>
      <c r="I36" s="84"/>
      <c r="N36" s="150">
        <f>125499.72+40000-N39</f>
        <v>100499.72</v>
      </c>
      <c r="O36" s="157">
        <f>129657.59-O39</f>
        <v>79657.59</v>
      </c>
      <c r="P36" s="154">
        <f>119025.22-P39</f>
        <v>69025.22</v>
      </c>
      <c r="Q36" s="154">
        <f>145843.83-Q39</f>
        <v>115843.82999999999</v>
      </c>
      <c r="R36" s="151">
        <f t="shared" si="0"/>
        <v>365026.36</v>
      </c>
    </row>
    <row r="37" spans="2:18" ht="20.399999999999999" x14ac:dyDescent="0.3">
      <c r="B37" s="75">
        <v>3</v>
      </c>
      <c r="C37" s="80">
        <v>30</v>
      </c>
      <c r="D37" s="80"/>
      <c r="E37" s="83" t="s">
        <v>48</v>
      </c>
      <c r="F37" s="100">
        <f t="shared" ref="F37:F41" si="2">R37</f>
        <v>0</v>
      </c>
      <c r="G37" s="94">
        <f>SUMIF($D$9:$D$25,$C$37,$G$9:$G$25)</f>
        <v>0</v>
      </c>
      <c r="H37" s="96">
        <f t="shared" si="1"/>
        <v>0</v>
      </c>
      <c r="I37" s="81"/>
      <c r="N37" s="150"/>
      <c r="O37" s="157"/>
      <c r="P37" s="154"/>
      <c r="Q37" s="154"/>
      <c r="R37" s="151">
        <f t="shared" si="0"/>
        <v>0</v>
      </c>
    </row>
    <row r="38" spans="2:18" ht="20.399999999999999" x14ac:dyDescent="0.3">
      <c r="B38" s="75">
        <v>4</v>
      </c>
      <c r="C38" s="80">
        <v>40</v>
      </c>
      <c r="D38" s="80"/>
      <c r="E38" s="83" t="s">
        <v>49</v>
      </c>
      <c r="F38" s="100">
        <v>0</v>
      </c>
      <c r="G38" s="94">
        <f>SUMIF($D$9:$D$25,$C$38,$G$9:$G$25)</f>
        <v>0</v>
      </c>
      <c r="H38" s="96">
        <f t="shared" si="1"/>
        <v>0</v>
      </c>
      <c r="I38" s="81"/>
      <c r="N38" s="150"/>
      <c r="O38" s="157"/>
      <c r="P38" s="154"/>
      <c r="Q38" s="154"/>
      <c r="R38" s="151">
        <f t="shared" si="0"/>
        <v>0</v>
      </c>
    </row>
    <row r="39" spans="2:18" ht="20.399999999999999" x14ac:dyDescent="0.3">
      <c r="B39" s="75">
        <v>5</v>
      </c>
      <c r="C39" s="80">
        <v>50</v>
      </c>
      <c r="D39" s="80"/>
      <c r="E39" s="83" t="s">
        <v>47</v>
      </c>
      <c r="F39" s="100">
        <f>1500+1000+500</f>
        <v>3000</v>
      </c>
      <c r="G39" s="94">
        <f>SUMIF($D$9:$D$25,$C$39,$G$9:$G$25)</f>
        <v>4709.3999999999996</v>
      </c>
      <c r="H39" s="96">
        <f t="shared" si="1"/>
        <v>-1709.3999999999996</v>
      </c>
      <c r="I39" s="81"/>
      <c r="N39" s="150">
        <v>65000</v>
      </c>
      <c r="O39" s="157">
        <v>50000</v>
      </c>
      <c r="P39" s="154">
        <v>50000</v>
      </c>
      <c r="Q39" s="154">
        <v>30000</v>
      </c>
      <c r="R39" s="151">
        <f t="shared" si="0"/>
        <v>195000</v>
      </c>
    </row>
    <row r="40" spans="2:18" ht="20.399999999999999" x14ac:dyDescent="0.3">
      <c r="B40" s="76">
        <v>6</v>
      </c>
      <c r="C40" s="80">
        <v>60</v>
      </c>
      <c r="D40" s="80"/>
      <c r="E40" s="83" t="s">
        <v>51</v>
      </c>
      <c r="F40" s="100">
        <v>0</v>
      </c>
      <c r="G40" s="94">
        <f>SUMIF($D$9:$D$25,$C$40,$G$9:$G$25)</f>
        <v>0</v>
      </c>
      <c r="H40" s="96">
        <f t="shared" si="1"/>
        <v>0</v>
      </c>
      <c r="I40" s="81"/>
      <c r="N40" s="150"/>
      <c r="O40" s="150"/>
      <c r="P40" s="150"/>
      <c r="Q40" s="150"/>
      <c r="R40" s="151">
        <f t="shared" si="0"/>
        <v>0</v>
      </c>
    </row>
    <row r="41" spans="2:18" ht="20.399999999999999" x14ac:dyDescent="0.3">
      <c r="B41" s="76">
        <v>7</v>
      </c>
      <c r="C41" s="80">
        <v>70</v>
      </c>
      <c r="D41" s="80"/>
      <c r="E41" s="83" t="s">
        <v>52</v>
      </c>
      <c r="F41" s="100">
        <f t="shared" si="2"/>
        <v>0</v>
      </c>
      <c r="G41" s="94">
        <f>SUMIF($D$9:$D$25,$C$41,$G$9:$G$25)</f>
        <v>0</v>
      </c>
      <c r="H41" s="96">
        <f t="shared" si="1"/>
        <v>0</v>
      </c>
      <c r="I41" s="81"/>
      <c r="N41" s="150"/>
      <c r="O41" s="150"/>
      <c r="P41" s="150"/>
      <c r="Q41" s="150"/>
      <c r="R41" s="151">
        <f t="shared" si="0"/>
        <v>0</v>
      </c>
    </row>
    <row r="42" spans="2:18" ht="20.399999999999999" x14ac:dyDescent="0.3">
      <c r="B42" s="76">
        <v>8</v>
      </c>
      <c r="C42" s="80">
        <v>80</v>
      </c>
      <c r="D42" s="80"/>
      <c r="E42" s="83" t="s">
        <v>53</v>
      </c>
      <c r="F42" s="100">
        <v>0</v>
      </c>
      <c r="G42" s="94">
        <f>SUMIF($D$9:$D$25,$C$42,$G$9:$G$25)</f>
        <v>0</v>
      </c>
      <c r="H42" s="96">
        <f t="shared" ref="H42" si="3">F42-G42</f>
        <v>0</v>
      </c>
      <c r="I42" s="81"/>
      <c r="N42" s="150"/>
      <c r="O42" s="150"/>
      <c r="P42" s="150"/>
      <c r="Q42" s="150"/>
      <c r="R42" s="151">
        <f t="shared" ref="R42" si="4">SUM(N42:Q42)</f>
        <v>0</v>
      </c>
    </row>
    <row r="43" spans="2:18" ht="20.399999999999999" x14ac:dyDescent="0.3">
      <c r="B43" s="76">
        <v>9</v>
      </c>
      <c r="C43" s="80">
        <v>90</v>
      </c>
      <c r="D43" s="80"/>
      <c r="E43" s="83" t="s">
        <v>369</v>
      </c>
      <c r="F43" s="100">
        <v>0</v>
      </c>
      <c r="G43" s="94">
        <f>SUMIF($D$9:$D$25,$C$43,$G$9:$G$25)</f>
        <v>2000</v>
      </c>
      <c r="H43" s="96">
        <f t="shared" si="1"/>
        <v>-2000</v>
      </c>
      <c r="I43" s="81"/>
      <c r="N43" s="150"/>
      <c r="O43" s="150"/>
      <c r="P43" s="150"/>
      <c r="Q43" s="150"/>
      <c r="R43" s="151">
        <f t="shared" si="0"/>
        <v>0</v>
      </c>
    </row>
    <row r="44" spans="2:18" ht="20.399999999999999" x14ac:dyDescent="0.35">
      <c r="B44" s="89"/>
      <c r="C44" s="90"/>
      <c r="D44" s="90"/>
      <c r="E44" s="91" t="s">
        <v>59</v>
      </c>
      <c r="F44" s="92">
        <f>SUM(F35:F43)</f>
        <v>24400</v>
      </c>
      <c r="G44" s="92">
        <f>SUM(G35:G43)</f>
        <v>23681.08</v>
      </c>
      <c r="H44" s="97">
        <f>SUM(H35:H43)</f>
        <v>718.92000000000007</v>
      </c>
      <c r="I44" s="93"/>
      <c r="N44" s="150"/>
      <c r="O44" s="150"/>
      <c r="P44" s="150"/>
      <c r="Q44" s="150"/>
      <c r="R44" s="151">
        <f t="shared" si="0"/>
        <v>0</v>
      </c>
    </row>
    <row r="45" spans="2:18" ht="20.399999999999999" x14ac:dyDescent="0.35">
      <c r="B45" s="89"/>
      <c r="C45" s="90"/>
      <c r="D45" s="90"/>
      <c r="E45" s="91" t="s">
        <v>60</v>
      </c>
      <c r="F45" s="88">
        <f>((C32-F44)/C32)</f>
        <v>0.24830560690080097</v>
      </c>
      <c r="G45" s="88"/>
      <c r="H45" s="93"/>
      <c r="I45" s="93"/>
    </row>
    <row r="46" spans="2:18" ht="21" thickBot="1" x14ac:dyDescent="0.4">
      <c r="B46" s="89"/>
      <c r="C46" s="90"/>
      <c r="D46" s="90"/>
      <c r="E46" s="91" t="s">
        <v>58</v>
      </c>
      <c r="F46" s="92">
        <f>F45*C32</f>
        <v>8060</v>
      </c>
      <c r="G46" s="92"/>
      <c r="H46" s="93"/>
      <c r="I46" s="93"/>
      <c r="N46" s="153">
        <f>SUM(N35:N45)</f>
        <v>2107107.9699999997</v>
      </c>
      <c r="O46" s="153">
        <f t="shared" ref="O46:Q46" si="5">SUM(O35:O45)</f>
        <v>316983.8</v>
      </c>
      <c r="P46" s="153">
        <f t="shared" si="5"/>
        <v>290309.03000000003</v>
      </c>
      <c r="Q46" s="153">
        <f t="shared" si="5"/>
        <v>375045.94999999995</v>
      </c>
      <c r="R46" s="151">
        <f>SUM(N46:Q46)</f>
        <v>3089446.75</v>
      </c>
    </row>
    <row r="47" spans="2:18" ht="22.8" thickTop="1" x14ac:dyDescent="0.35">
      <c r="B47" s="41"/>
      <c r="C47" s="40"/>
      <c r="D47" s="40"/>
      <c r="E47" s="91" t="s">
        <v>68</v>
      </c>
      <c r="F47" s="194">
        <f>C32-G44</f>
        <v>8778.9199999999983</v>
      </c>
      <c r="G47" s="95"/>
      <c r="H47" s="81"/>
      <c r="I47" s="81"/>
    </row>
    <row r="48" spans="2:18" ht="15" x14ac:dyDescent="0.25">
      <c r="B48" s="41"/>
      <c r="C48" s="40"/>
      <c r="D48" s="40"/>
      <c r="E48" s="40"/>
      <c r="F48" s="40"/>
      <c r="G48" s="42"/>
      <c r="H48" s="43"/>
      <c r="I48" s="43"/>
    </row>
    <row r="49" spans="2:9" ht="31.8" customHeight="1" x14ac:dyDescent="0.25">
      <c r="B49" s="41"/>
      <c r="C49" s="40"/>
      <c r="D49" s="40"/>
      <c r="E49" s="474" t="s">
        <v>423</v>
      </c>
      <c r="F49" s="472">
        <f>F47*0.25</f>
        <v>2194.7299999999996</v>
      </c>
      <c r="G49" s="42"/>
      <c r="H49" s="43"/>
      <c r="I49" s="43"/>
    </row>
    <row r="50" spans="2:9" ht="15" x14ac:dyDescent="0.25">
      <c r="B50" s="41"/>
      <c r="C50" s="40"/>
      <c r="D50" s="40"/>
      <c r="E50" s="40"/>
      <c r="F50" s="40"/>
      <c r="G50" s="42"/>
      <c r="H50" s="43"/>
      <c r="I50" s="43"/>
    </row>
    <row r="51" spans="2:9" ht="15" x14ac:dyDescent="0.25">
      <c r="B51" s="41"/>
      <c r="C51" s="40"/>
      <c r="D51" s="40"/>
      <c r="E51" s="40"/>
      <c r="F51" s="40"/>
      <c r="G51" s="42"/>
      <c r="H51" s="43"/>
      <c r="I51" s="43"/>
    </row>
    <row r="52" spans="2:9" ht="18" x14ac:dyDescent="0.45">
      <c r="B52" s="7"/>
      <c r="C52" s="12"/>
      <c r="D52" s="9"/>
      <c r="E52" s="9"/>
      <c r="F52" s="39"/>
      <c r="G52" s="44"/>
      <c r="H52" s="12"/>
      <c r="I52" s="7"/>
    </row>
    <row r="53" spans="2:9" ht="18" x14ac:dyDescent="0.45">
      <c r="B53" s="7"/>
      <c r="C53" s="12"/>
      <c r="D53" s="9"/>
      <c r="E53" s="9"/>
      <c r="F53" s="45"/>
      <c r="G53" s="46"/>
      <c r="H53" s="12"/>
      <c r="I53" s="7"/>
    </row>
    <row r="54" spans="2:9" ht="18" x14ac:dyDescent="0.45">
      <c r="B54" s="7"/>
      <c r="C54" s="12"/>
      <c r="D54" s="9"/>
      <c r="E54" s="9"/>
      <c r="F54" s="12"/>
      <c r="G54" s="12"/>
      <c r="H54" s="12"/>
      <c r="I54" s="7"/>
    </row>
  </sheetData>
  <mergeCells count="8">
    <mergeCell ref="H33:H34"/>
    <mergeCell ref="I33:I34"/>
    <mergeCell ref="E4:F5"/>
    <mergeCell ref="B33:B34"/>
    <mergeCell ref="C33:D34"/>
    <mergeCell ref="E33:E34"/>
    <mergeCell ref="F33:F34"/>
    <mergeCell ref="G33:G34"/>
  </mergeCells>
  <conditionalFormatting sqref="H35:H44">
    <cfRule type="cellIs" dxfId="8" priority="1" operator="lessThan">
      <formula>0</formula>
    </cfRule>
    <cfRule type="cellIs" dxfId="7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3F886-6F38-4AF5-BFE5-EDC29995AFCA}">
  <sheetPr>
    <pageSetUpPr fitToPage="1"/>
  </sheetPr>
  <dimension ref="B1:R50"/>
  <sheetViews>
    <sheetView zoomScale="68" zoomScaleNormal="73" workbookViewId="0">
      <selection activeCell="G15" sqref="G15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0" max="10" width="14.19921875" customWidth="1"/>
    <col min="13" max="13" width="12.296875" customWidth="1"/>
    <col min="14" max="17" width="19.296875" customWidth="1"/>
    <col min="18" max="18" width="27.09765625" customWidth="1"/>
  </cols>
  <sheetData>
    <row r="1" spans="2:18" ht="22.2" x14ac:dyDescent="0.35">
      <c r="B1" s="14" t="s">
        <v>0</v>
      </c>
      <c r="C1" s="2" t="s">
        <v>21</v>
      </c>
      <c r="D1" s="2"/>
      <c r="E1" s="2"/>
      <c r="F1" s="3"/>
      <c r="G1" s="3"/>
      <c r="H1" s="146" t="s">
        <v>1</v>
      </c>
      <c r="I1" s="147">
        <v>45934</v>
      </c>
    </row>
    <row r="2" spans="2:18" ht="22.8" x14ac:dyDescent="0.55000000000000004">
      <c r="B2" s="4" t="s">
        <v>2</v>
      </c>
      <c r="C2" s="5" t="str">
        <f>'All Job balance report'!F4</f>
        <v>เปลี่ยน ACB Big-C Udonthani</v>
      </c>
      <c r="D2" s="5"/>
      <c r="E2" s="5"/>
      <c r="F2" s="3"/>
      <c r="G2" s="3"/>
      <c r="H2" s="146" t="s">
        <v>3</v>
      </c>
      <c r="I2" s="148"/>
      <c r="N2" s="155" t="s">
        <v>80</v>
      </c>
      <c r="O2" s="155" t="s">
        <v>81</v>
      </c>
      <c r="P2" s="155" t="s">
        <v>82</v>
      </c>
      <c r="Q2" s="155" t="s">
        <v>83</v>
      </c>
    </row>
    <row r="3" spans="2:18" ht="22.2" x14ac:dyDescent="0.55000000000000004">
      <c r="B3" s="4" t="s">
        <v>74</v>
      </c>
      <c r="C3" s="145" t="str">
        <f>C25</f>
        <v>PEK-2500/002</v>
      </c>
      <c r="D3" s="6"/>
      <c r="E3" s="6"/>
      <c r="F3" s="7"/>
      <c r="G3" s="7"/>
      <c r="H3" s="7"/>
      <c r="I3" s="7"/>
      <c r="M3" t="s">
        <v>84</v>
      </c>
      <c r="N3" t="s">
        <v>85</v>
      </c>
    </row>
    <row r="4" spans="2:18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</v>
      </c>
      <c r="N4" t="s">
        <v>86</v>
      </c>
    </row>
    <row r="5" spans="2:18" ht="22.2" x14ac:dyDescent="0.55000000000000004">
      <c r="B5" s="4" t="s">
        <v>7</v>
      </c>
      <c r="C5" s="11">
        <f>C26</f>
        <v>163000</v>
      </c>
      <c r="D5" s="9"/>
      <c r="E5" s="556"/>
      <c r="F5" s="556"/>
      <c r="G5" s="3"/>
      <c r="H5" s="7"/>
      <c r="I5" s="7"/>
    </row>
    <row r="6" spans="2:18" ht="26.4" x14ac:dyDescent="0.55000000000000004">
      <c r="B6" s="4" t="s">
        <v>8</v>
      </c>
      <c r="C6" s="11">
        <f>F38</f>
        <v>149500</v>
      </c>
      <c r="D6" s="12"/>
      <c r="E6" s="13"/>
      <c r="F6" s="10"/>
      <c r="G6" s="3"/>
      <c r="H6" s="7"/>
      <c r="I6" s="7"/>
      <c r="M6" t="s">
        <v>7</v>
      </c>
      <c r="N6" s="158">
        <v>2254569.98</v>
      </c>
      <c r="O6" s="149"/>
      <c r="P6" s="158">
        <v>397867.06</v>
      </c>
      <c r="Q6" s="158">
        <v>513604.21</v>
      </c>
    </row>
    <row r="7" spans="2:18" ht="22.2" x14ac:dyDescent="0.55000000000000004">
      <c r="B7" s="15" t="s">
        <v>9</v>
      </c>
      <c r="C7" s="16">
        <f>(C5-C6)/C5</f>
        <v>8.2822085889570546E-2</v>
      </c>
      <c r="D7" s="15" t="s">
        <v>10</v>
      </c>
      <c r="E7" s="17">
        <v>1</v>
      </c>
      <c r="F7" s="18"/>
      <c r="G7" s="18"/>
      <c r="H7" s="18"/>
      <c r="I7" s="18"/>
      <c r="N7" s="158">
        <v>265430.02</v>
      </c>
      <c r="O7" s="149"/>
      <c r="P7" s="149"/>
      <c r="Q7" s="149"/>
    </row>
    <row r="8" spans="2:18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J8" s="20" t="s">
        <v>126</v>
      </c>
      <c r="N8" s="149"/>
      <c r="O8" s="149"/>
      <c r="P8" s="149"/>
      <c r="Q8" s="149"/>
    </row>
    <row r="9" spans="2:18" ht="17.399999999999999" x14ac:dyDescent="0.45">
      <c r="B9" s="68"/>
      <c r="C9" s="51"/>
      <c r="D9" s="51"/>
      <c r="E9" s="51"/>
      <c r="F9" s="51"/>
      <c r="G9" s="52"/>
      <c r="H9" s="69"/>
      <c r="I9" s="202"/>
      <c r="J9" s="175"/>
      <c r="N9" s="149">
        <f>SUM(N6:N8)</f>
        <v>2520000</v>
      </c>
      <c r="O9" s="149">
        <f t="shared" ref="O9:Q9" si="0">SUM(O6:O8)</f>
        <v>0</v>
      </c>
      <c r="P9" s="149">
        <f t="shared" si="0"/>
        <v>397867.06</v>
      </c>
      <c r="Q9" s="149">
        <f t="shared" si="0"/>
        <v>513604.21</v>
      </c>
      <c r="R9" s="152">
        <f>SUM(N9:Q9)</f>
        <v>3431471.27</v>
      </c>
    </row>
    <row r="10" spans="2:18" ht="23.4" x14ac:dyDescent="0.6">
      <c r="B10" s="108"/>
      <c r="C10" s="54" t="s">
        <v>326</v>
      </c>
      <c r="D10" s="58">
        <v>20</v>
      </c>
      <c r="E10" s="54" t="s">
        <v>327</v>
      </c>
      <c r="F10" s="54" t="s">
        <v>328</v>
      </c>
      <c r="G10" s="479">
        <v>110000</v>
      </c>
      <c r="H10" s="59" t="s">
        <v>17</v>
      </c>
      <c r="I10" s="445">
        <v>45934</v>
      </c>
      <c r="J10" s="175"/>
      <c r="N10" s="149"/>
      <c r="O10" s="149"/>
      <c r="P10" s="149"/>
      <c r="Q10" s="149"/>
    </row>
    <row r="11" spans="2:18" ht="23.4" x14ac:dyDescent="0.6">
      <c r="B11" s="109"/>
      <c r="C11" s="55"/>
      <c r="D11" s="447">
        <v>50</v>
      </c>
      <c r="E11" s="456" t="s">
        <v>389</v>
      </c>
      <c r="F11" s="456"/>
      <c r="G11" s="479">
        <f>890*2</f>
        <v>1780</v>
      </c>
      <c r="H11" s="59" t="s">
        <v>17</v>
      </c>
      <c r="I11" s="445">
        <v>46002</v>
      </c>
      <c r="J11" s="175"/>
      <c r="N11" s="149"/>
      <c r="O11" s="149"/>
      <c r="P11" s="149"/>
      <c r="Q11" s="149"/>
    </row>
    <row r="12" spans="2:18" ht="23.4" x14ac:dyDescent="0.6">
      <c r="B12" s="109"/>
      <c r="C12" s="55"/>
      <c r="D12" s="447">
        <v>50</v>
      </c>
      <c r="E12" s="448" t="s">
        <v>416</v>
      </c>
      <c r="F12" s="448"/>
      <c r="G12" s="479">
        <v>1900</v>
      </c>
      <c r="H12" s="59" t="s">
        <v>17</v>
      </c>
      <c r="I12" s="445">
        <v>46002</v>
      </c>
      <c r="J12" s="175"/>
      <c r="N12" s="149"/>
      <c r="O12" s="149"/>
      <c r="P12" s="149"/>
      <c r="Q12" s="149"/>
    </row>
    <row r="13" spans="2:18" ht="23.4" x14ac:dyDescent="0.6">
      <c r="B13" s="109"/>
      <c r="C13" s="55"/>
      <c r="D13" s="447">
        <v>40</v>
      </c>
      <c r="E13" s="448" t="s">
        <v>164</v>
      </c>
      <c r="F13" s="448"/>
      <c r="G13" s="479">
        <v>1500</v>
      </c>
      <c r="H13" s="59" t="s">
        <v>17</v>
      </c>
      <c r="I13" s="445">
        <v>46002</v>
      </c>
      <c r="J13" s="175"/>
      <c r="N13" s="149"/>
      <c r="O13" s="149"/>
      <c r="P13" s="149"/>
      <c r="Q13" s="149"/>
    </row>
    <row r="14" spans="2:18" ht="25.2" customHeight="1" x14ac:dyDescent="0.6">
      <c r="B14" s="109"/>
      <c r="C14" s="55"/>
      <c r="D14" s="447">
        <v>50</v>
      </c>
      <c r="E14" s="456" t="s">
        <v>432</v>
      </c>
      <c r="F14" s="456"/>
      <c r="G14" s="479">
        <v>0</v>
      </c>
      <c r="H14" s="59" t="s">
        <v>17</v>
      </c>
      <c r="I14" s="445">
        <v>46002</v>
      </c>
      <c r="J14" s="175"/>
    </row>
    <row r="15" spans="2:18" ht="25.2" customHeight="1" x14ac:dyDescent="0.6">
      <c r="B15" s="109"/>
      <c r="C15" s="55"/>
      <c r="D15" s="447">
        <v>50</v>
      </c>
      <c r="E15" s="448" t="s">
        <v>417</v>
      </c>
      <c r="F15" s="448"/>
      <c r="G15" s="479">
        <v>1000</v>
      </c>
      <c r="H15" s="59" t="s">
        <v>17</v>
      </c>
      <c r="I15" s="445">
        <v>46002</v>
      </c>
      <c r="J15" s="175"/>
    </row>
    <row r="16" spans="2:18" ht="25.2" customHeight="1" x14ac:dyDescent="0.6">
      <c r="B16" s="109"/>
      <c r="C16" s="55"/>
      <c r="D16" s="447">
        <v>40</v>
      </c>
      <c r="E16" s="448" t="s">
        <v>431</v>
      </c>
      <c r="F16" s="448"/>
      <c r="G16" s="479">
        <v>1000</v>
      </c>
      <c r="H16" s="59" t="s">
        <v>17</v>
      </c>
      <c r="I16" s="445">
        <v>46002</v>
      </c>
      <c r="J16" s="175"/>
    </row>
    <row r="17" spans="2:18" ht="25.2" customHeight="1" x14ac:dyDescent="0.6">
      <c r="B17" s="109"/>
      <c r="C17" s="55"/>
      <c r="D17" s="449">
        <v>80</v>
      </c>
      <c r="E17" s="54" t="s">
        <v>452</v>
      </c>
      <c r="F17" s="101"/>
      <c r="G17" s="56">
        <v>37</v>
      </c>
      <c r="H17" s="59" t="s">
        <v>17</v>
      </c>
      <c r="I17" s="445">
        <v>46004</v>
      </c>
      <c r="J17" s="454" t="s">
        <v>366</v>
      </c>
    </row>
    <row r="18" spans="2:18" ht="25.2" customHeight="1" x14ac:dyDescent="0.6">
      <c r="B18" s="107"/>
      <c r="C18" s="55" t="s">
        <v>390</v>
      </c>
      <c r="D18" s="447">
        <v>90</v>
      </c>
      <c r="E18" s="469" t="s">
        <v>344</v>
      </c>
      <c r="F18" s="469"/>
      <c r="G18" s="470">
        <v>22800</v>
      </c>
      <c r="H18" s="458" t="s">
        <v>17</v>
      </c>
      <c r="I18" s="445">
        <v>45934</v>
      </c>
      <c r="J18" s="175"/>
    </row>
    <row r="19" spans="2:18" ht="25.2" customHeight="1" x14ac:dyDescent="0.35">
      <c r="B19" s="107"/>
      <c r="C19" s="28"/>
      <c r="D19" s="28"/>
      <c r="E19" s="28"/>
      <c r="F19" s="28"/>
      <c r="G19" s="29"/>
      <c r="H19" s="30"/>
      <c r="I19" s="455"/>
      <c r="J19" s="175"/>
    </row>
    <row r="20" spans="2:18" ht="21.6" x14ac:dyDescent="0.45">
      <c r="B20" s="7"/>
      <c r="C20" s="12"/>
      <c r="D20" s="9"/>
      <c r="E20" s="9"/>
      <c r="F20" s="32" t="s">
        <v>18</v>
      </c>
      <c r="G20" s="33">
        <f>SUM(G9:G18)</f>
        <v>140017</v>
      </c>
      <c r="H20" s="12" t="s">
        <v>433</v>
      </c>
      <c r="I20" s="480">
        <f>C5-G20</f>
        <v>22983</v>
      </c>
    </row>
    <row r="21" spans="2:18" ht="18" x14ac:dyDescent="0.45">
      <c r="B21" s="7"/>
      <c r="C21" s="12"/>
      <c r="D21" s="9"/>
      <c r="E21" s="9"/>
      <c r="F21" s="34" t="s">
        <v>19</v>
      </c>
      <c r="G21" s="35">
        <f>$C$6-G20</f>
        <v>9483</v>
      </c>
      <c r="H21" s="12"/>
      <c r="I21" s="7"/>
    </row>
    <row r="22" spans="2:18" ht="18" x14ac:dyDescent="0.45">
      <c r="B22" s="7"/>
      <c r="C22" s="12"/>
      <c r="D22" s="9"/>
      <c r="E22" s="9"/>
      <c r="F22" s="12"/>
      <c r="G22" s="12"/>
      <c r="H22" s="12"/>
      <c r="I22" s="7">
        <f>50000/30</f>
        <v>1666.6666666666667</v>
      </c>
    </row>
    <row r="23" spans="2:18" ht="18" x14ac:dyDescent="0.45">
      <c r="B23" s="7"/>
      <c r="C23" s="12"/>
      <c r="D23" s="9"/>
      <c r="E23" s="9"/>
      <c r="F23" s="36" t="s">
        <v>20</v>
      </c>
      <c r="G23" s="37">
        <f>G21/C6</f>
        <v>6.3431438127090303E-2</v>
      </c>
      <c r="H23" s="38"/>
      <c r="I23" s="7"/>
    </row>
    <row r="24" spans="2:18" ht="26.4" x14ac:dyDescent="0.55000000000000004">
      <c r="B24" s="4"/>
      <c r="C24" s="11"/>
      <c r="D24" s="9"/>
      <c r="E24" s="10"/>
      <c r="F24" s="10"/>
      <c r="G24" s="3"/>
      <c r="H24" s="7"/>
      <c r="I24" s="7"/>
    </row>
    <row r="25" spans="2:18" ht="26.4" x14ac:dyDescent="0.55000000000000004">
      <c r="B25" s="143" t="s">
        <v>79</v>
      </c>
      <c r="C25" s="144" t="str">
        <f>'All Job balance report'!B4</f>
        <v>PEK-2500/002</v>
      </c>
      <c r="D25" s="12"/>
      <c r="E25" s="13"/>
      <c r="F25" s="10"/>
      <c r="G25" s="3"/>
      <c r="H25" s="7"/>
      <c r="I25" s="7"/>
    </row>
    <row r="26" spans="2:18" ht="22.2" x14ac:dyDescent="0.55000000000000004">
      <c r="B26" s="82" t="s">
        <v>7</v>
      </c>
      <c r="C26" s="85">
        <f>'All Job balance report'!G4</f>
        <v>163000</v>
      </c>
      <c r="D26" s="15"/>
      <c r="E26" s="17"/>
      <c r="F26" s="18"/>
      <c r="G26" s="18"/>
      <c r="H26" s="18"/>
      <c r="I26" s="18"/>
    </row>
    <row r="27" spans="2:18" x14ac:dyDescent="0.25">
      <c r="B27" s="557" t="s">
        <v>23</v>
      </c>
      <c r="C27" s="557" t="s">
        <v>28</v>
      </c>
      <c r="D27" s="559"/>
      <c r="E27" s="555" t="s">
        <v>13</v>
      </c>
      <c r="F27" s="555" t="s">
        <v>54</v>
      </c>
      <c r="G27" s="555" t="s">
        <v>55</v>
      </c>
      <c r="H27" s="555" t="s">
        <v>56</v>
      </c>
      <c r="I27" s="555" t="s">
        <v>57</v>
      </c>
    </row>
    <row r="28" spans="2:18" ht="20.399999999999999" x14ac:dyDescent="0.35">
      <c r="B28" s="558"/>
      <c r="C28" s="558"/>
      <c r="D28" s="560"/>
      <c r="E28" s="555"/>
      <c r="F28" s="555"/>
      <c r="G28" s="555"/>
      <c r="H28" s="555"/>
      <c r="I28" s="555"/>
      <c r="N28" s="156" t="s">
        <v>80</v>
      </c>
      <c r="O28" s="156" t="s">
        <v>81</v>
      </c>
      <c r="P28" s="156" t="s">
        <v>82</v>
      </c>
      <c r="Q28" s="156" t="s">
        <v>83</v>
      </c>
    </row>
    <row r="29" spans="2:18" ht="20.399999999999999" x14ac:dyDescent="0.3">
      <c r="B29" s="73">
        <v>1</v>
      </c>
      <c r="C29" s="77">
        <v>10</v>
      </c>
      <c r="D29" s="77"/>
      <c r="E29" s="83" t="s">
        <v>25</v>
      </c>
      <c r="F29" s="100">
        <v>0</v>
      </c>
      <c r="G29" s="94">
        <f>SUMIF($D$10:$D$19,$C$29,$G$10:$G$19)</f>
        <v>0</v>
      </c>
      <c r="H29" s="96">
        <f>F29-G29</f>
        <v>0</v>
      </c>
      <c r="I29" s="84"/>
      <c r="N29" s="150">
        <f>1391385.86+550222.39</f>
        <v>1941608.25</v>
      </c>
      <c r="O29" s="157">
        <v>187326.21</v>
      </c>
      <c r="P29" s="154">
        <v>171283.81</v>
      </c>
      <c r="Q29" s="154">
        <v>229202.12</v>
      </c>
      <c r="R29" s="151">
        <f t="shared" ref="R29:R38" si="1">SUM(N29:Q29)</f>
        <v>2529420.39</v>
      </c>
    </row>
    <row r="30" spans="2:18" ht="20.399999999999999" x14ac:dyDescent="0.3">
      <c r="B30" s="74">
        <v>2</v>
      </c>
      <c r="C30" s="80">
        <v>20</v>
      </c>
      <c r="D30" s="80"/>
      <c r="E30" s="83" t="s">
        <v>26</v>
      </c>
      <c r="F30" s="100">
        <v>115000</v>
      </c>
      <c r="G30" s="94">
        <f>SUMIF($D$10:$D$19,$C$30,$G$10:$G$19)</f>
        <v>110000</v>
      </c>
      <c r="H30" s="96">
        <f t="shared" ref="H30:H37" si="2">F30-G30</f>
        <v>5000</v>
      </c>
      <c r="I30" s="84"/>
      <c r="N30" s="150">
        <f>125499.72+40000-N33</f>
        <v>100499.72</v>
      </c>
      <c r="O30" s="157">
        <f>129657.59-O33</f>
        <v>79657.59</v>
      </c>
      <c r="P30" s="154">
        <f>119025.22-P33</f>
        <v>69025.22</v>
      </c>
      <c r="Q30" s="154">
        <f>145843.83-Q33</f>
        <v>115843.82999999999</v>
      </c>
      <c r="R30" s="151">
        <f t="shared" si="1"/>
        <v>365026.36</v>
      </c>
    </row>
    <row r="31" spans="2:18" ht="20.399999999999999" x14ac:dyDescent="0.3">
      <c r="B31" s="75">
        <v>3</v>
      </c>
      <c r="C31" s="80">
        <v>30</v>
      </c>
      <c r="D31" s="80"/>
      <c r="E31" s="83" t="s">
        <v>48</v>
      </c>
      <c r="F31" s="100">
        <f t="shared" ref="F31:F35" si="3">R31</f>
        <v>0</v>
      </c>
      <c r="G31" s="94">
        <f>SUMIF($D$10:$D$19,$C$31,$G$10:$G$19)</f>
        <v>0</v>
      </c>
      <c r="H31" s="96">
        <f t="shared" si="2"/>
        <v>0</v>
      </c>
      <c r="I31" s="81"/>
      <c r="N31" s="150"/>
      <c r="O31" s="157"/>
      <c r="P31" s="154"/>
      <c r="Q31" s="154"/>
      <c r="R31" s="151">
        <f t="shared" si="1"/>
        <v>0</v>
      </c>
    </row>
    <row r="32" spans="2:18" ht="20.399999999999999" x14ac:dyDescent="0.3">
      <c r="B32" s="75">
        <v>4</v>
      </c>
      <c r="C32" s="80">
        <v>40</v>
      </c>
      <c r="D32" s="80"/>
      <c r="E32" s="83" t="s">
        <v>49</v>
      </c>
      <c r="F32" s="100">
        <v>3500</v>
      </c>
      <c r="G32" s="94">
        <f>SUMIF($D$10:$D$19,$C$32,$G$10:$G$19)</f>
        <v>2500</v>
      </c>
      <c r="H32" s="96">
        <f t="shared" si="2"/>
        <v>1000</v>
      </c>
      <c r="I32" s="81"/>
      <c r="N32" s="150"/>
      <c r="O32" s="157"/>
      <c r="P32" s="154"/>
      <c r="Q32" s="154"/>
      <c r="R32" s="151">
        <f t="shared" si="1"/>
        <v>0</v>
      </c>
    </row>
    <row r="33" spans="2:18" ht="20.399999999999999" x14ac:dyDescent="0.3">
      <c r="B33" s="75">
        <v>5</v>
      </c>
      <c r="C33" s="80">
        <v>50</v>
      </c>
      <c r="D33" s="80"/>
      <c r="E33" s="83" t="s">
        <v>47</v>
      </c>
      <c r="F33" s="100">
        <v>11000</v>
      </c>
      <c r="G33" s="94">
        <f>SUMIF($D$10:$D$19,$C$33,$G$10:$G$19)</f>
        <v>4680</v>
      </c>
      <c r="H33" s="96">
        <f t="shared" si="2"/>
        <v>6320</v>
      </c>
      <c r="I33" s="81"/>
      <c r="N33" s="150">
        <v>65000</v>
      </c>
      <c r="O33" s="157">
        <v>50000</v>
      </c>
      <c r="P33" s="154">
        <v>50000</v>
      </c>
      <c r="Q33" s="154">
        <v>30000</v>
      </c>
      <c r="R33" s="151">
        <f t="shared" si="1"/>
        <v>195000</v>
      </c>
    </row>
    <row r="34" spans="2:18" ht="20.399999999999999" x14ac:dyDescent="0.3">
      <c r="B34" s="76">
        <v>6</v>
      </c>
      <c r="C34" s="80">
        <v>60</v>
      </c>
      <c r="D34" s="80"/>
      <c r="E34" s="83" t="s">
        <v>51</v>
      </c>
      <c r="F34" s="100">
        <v>0</v>
      </c>
      <c r="G34" s="94">
        <f>SUMIF($D$10:$D$19,$C$34,$G$10:$G$19)</f>
        <v>0</v>
      </c>
      <c r="H34" s="96">
        <f t="shared" si="2"/>
        <v>0</v>
      </c>
      <c r="I34" s="81"/>
      <c r="N34" s="150"/>
      <c r="O34" s="150"/>
      <c r="P34" s="150"/>
      <c r="Q34" s="150"/>
      <c r="R34" s="151">
        <f t="shared" si="1"/>
        <v>0</v>
      </c>
    </row>
    <row r="35" spans="2:18" ht="20.399999999999999" x14ac:dyDescent="0.3">
      <c r="B35" s="76">
        <v>7</v>
      </c>
      <c r="C35" s="80">
        <v>70</v>
      </c>
      <c r="D35" s="80"/>
      <c r="E35" s="83" t="s">
        <v>52</v>
      </c>
      <c r="F35" s="100">
        <f t="shared" si="3"/>
        <v>0</v>
      </c>
      <c r="G35" s="94">
        <f>SUMIF($D$10:$D$19,$C$35,$G$10:$G$19)</f>
        <v>0</v>
      </c>
      <c r="H35" s="96">
        <f t="shared" si="2"/>
        <v>0</v>
      </c>
      <c r="I35" s="81"/>
      <c r="N35" s="150"/>
      <c r="O35" s="150"/>
      <c r="P35" s="150"/>
      <c r="Q35" s="150"/>
      <c r="R35" s="151">
        <f t="shared" si="1"/>
        <v>0</v>
      </c>
    </row>
    <row r="36" spans="2:18" ht="20.399999999999999" x14ac:dyDescent="0.3">
      <c r="B36" s="76">
        <v>8</v>
      </c>
      <c r="C36" s="80">
        <v>80</v>
      </c>
      <c r="D36" s="80"/>
      <c r="E36" s="83" t="s">
        <v>53</v>
      </c>
      <c r="F36" s="100">
        <v>0</v>
      </c>
      <c r="G36" s="94">
        <f>SUMIF($D$10:$D$19,$C$36,$G$10:$G$19)</f>
        <v>37</v>
      </c>
      <c r="H36" s="96">
        <f t="shared" ref="H36" si="4">F36-G36</f>
        <v>-37</v>
      </c>
      <c r="I36" s="81"/>
      <c r="N36" s="150"/>
      <c r="O36" s="150"/>
      <c r="P36" s="150"/>
      <c r="Q36" s="150"/>
      <c r="R36" s="151">
        <f t="shared" ref="R36" si="5">SUM(N36:Q36)</f>
        <v>0</v>
      </c>
    </row>
    <row r="37" spans="2:18" ht="20.399999999999999" x14ac:dyDescent="0.3">
      <c r="B37" s="76">
        <v>9</v>
      </c>
      <c r="C37" s="80">
        <v>90</v>
      </c>
      <c r="D37" s="80"/>
      <c r="E37" s="83" t="s">
        <v>369</v>
      </c>
      <c r="F37" s="100">
        <v>20000</v>
      </c>
      <c r="G37" s="94">
        <f>SUMIF($D$10:$D$19,$C$37,$G$10:$G$19)</f>
        <v>22800</v>
      </c>
      <c r="H37" s="96">
        <f t="shared" si="2"/>
        <v>-2800</v>
      </c>
      <c r="I37" s="81"/>
      <c r="N37" s="150"/>
      <c r="O37" s="150"/>
      <c r="P37" s="150"/>
      <c r="Q37" s="150"/>
      <c r="R37" s="151">
        <f t="shared" si="1"/>
        <v>0</v>
      </c>
    </row>
    <row r="38" spans="2:18" ht="20.399999999999999" x14ac:dyDescent="0.35">
      <c r="B38" s="89"/>
      <c r="C38" s="90"/>
      <c r="D38" s="90"/>
      <c r="E38" s="91" t="s">
        <v>59</v>
      </c>
      <c r="F38" s="92">
        <f>SUM(F29:F37)</f>
        <v>149500</v>
      </c>
      <c r="G38" s="92">
        <f>SUM(G29:G37)</f>
        <v>140017</v>
      </c>
      <c r="H38" s="97">
        <f>SUM(H29:H37)</f>
        <v>9483</v>
      </c>
      <c r="I38" s="93"/>
      <c r="N38" s="150"/>
      <c r="O38" s="150"/>
      <c r="P38" s="150"/>
      <c r="Q38" s="150"/>
      <c r="R38" s="151">
        <f t="shared" si="1"/>
        <v>0</v>
      </c>
    </row>
    <row r="39" spans="2:18" ht="20.399999999999999" x14ac:dyDescent="0.35">
      <c r="B39" s="89"/>
      <c r="C39" s="90"/>
      <c r="D39" s="90"/>
      <c r="E39" s="91" t="s">
        <v>60</v>
      </c>
      <c r="F39" s="88">
        <f>((C26-F38)/C26)</f>
        <v>8.2822085889570546E-2</v>
      </c>
      <c r="G39" s="88"/>
      <c r="H39" s="93"/>
      <c r="I39" s="93"/>
    </row>
    <row r="40" spans="2:18" ht="21" thickBot="1" x14ac:dyDescent="0.4">
      <c r="B40" s="89"/>
      <c r="C40" s="90"/>
      <c r="D40" s="90"/>
      <c r="E40" s="91" t="s">
        <v>58</v>
      </c>
      <c r="F40" s="92">
        <f>F39*C26</f>
        <v>13499.999999999998</v>
      </c>
      <c r="G40" s="92"/>
      <c r="H40" s="93"/>
      <c r="I40" s="93"/>
      <c r="N40" s="153">
        <f>SUM(N29:N39)</f>
        <v>2107107.9699999997</v>
      </c>
      <c r="O40" s="153">
        <f t="shared" ref="O40:Q40" si="6">SUM(O29:O39)</f>
        <v>316983.8</v>
      </c>
      <c r="P40" s="153">
        <f t="shared" si="6"/>
        <v>290309.03000000003</v>
      </c>
      <c r="Q40" s="153">
        <f t="shared" si="6"/>
        <v>375045.94999999995</v>
      </c>
      <c r="R40" s="151">
        <f>SUM(N40:Q40)</f>
        <v>3089446.75</v>
      </c>
    </row>
    <row r="41" spans="2:18" ht="22.8" thickTop="1" x14ac:dyDescent="0.35">
      <c r="B41" s="41"/>
      <c r="C41" s="40"/>
      <c r="D41" s="40"/>
      <c r="E41" s="91" t="s">
        <v>68</v>
      </c>
      <c r="F41" s="194">
        <f>C26-G38</f>
        <v>22983</v>
      </c>
      <c r="G41" s="95"/>
      <c r="H41" s="81"/>
      <c r="I41" s="81"/>
    </row>
    <row r="42" spans="2:18" ht="15" x14ac:dyDescent="0.25">
      <c r="B42" s="41"/>
      <c r="C42" s="40"/>
      <c r="D42" s="40"/>
      <c r="E42" s="40"/>
      <c r="F42" s="40"/>
      <c r="G42" s="42"/>
      <c r="H42" s="43"/>
      <c r="I42" s="43"/>
    </row>
    <row r="43" spans="2:18" ht="25.2" customHeight="1" x14ac:dyDescent="0.25">
      <c r="B43" s="41"/>
      <c r="C43" s="40"/>
      <c r="D43" s="40"/>
      <c r="E43" s="474" t="s">
        <v>423</v>
      </c>
      <c r="F43" s="472">
        <f>F41*0.25</f>
        <v>5745.75</v>
      </c>
      <c r="G43" s="42"/>
      <c r="H43" s="43"/>
      <c r="I43" s="43"/>
    </row>
    <row r="44" spans="2:18" ht="15" x14ac:dyDescent="0.25">
      <c r="B44" s="41"/>
      <c r="C44" s="40"/>
      <c r="D44" s="40" t="s">
        <v>418</v>
      </c>
      <c r="E44" s="40"/>
      <c r="F44" s="40"/>
      <c r="G44" s="42"/>
      <c r="H44" s="43"/>
      <c r="I44" s="43"/>
    </row>
    <row r="45" spans="2:18" ht="15" x14ac:dyDescent="0.25">
      <c r="B45" s="41"/>
      <c r="C45" s="472">
        <v>21226.394800000002</v>
      </c>
      <c r="D45" s="471">
        <v>0.52</v>
      </c>
      <c r="E45" s="40" t="s">
        <v>419</v>
      </c>
      <c r="F45" s="40"/>
      <c r="G45" s="42"/>
      <c r="H45" s="43"/>
      <c r="I45" s="43"/>
    </row>
    <row r="46" spans="2:18" ht="18" x14ac:dyDescent="0.45">
      <c r="B46" s="7"/>
      <c r="C46" s="472">
        <v>19593.595200000003</v>
      </c>
      <c r="D46" s="471">
        <v>0.48</v>
      </c>
      <c r="E46" s="40" t="s">
        <v>420</v>
      </c>
      <c r="F46" s="39"/>
      <c r="G46" s="44"/>
      <c r="H46" s="12"/>
      <c r="I46" s="7"/>
    </row>
    <row r="47" spans="2:18" ht="18" x14ac:dyDescent="0.45">
      <c r="B47" s="7"/>
      <c r="C47" s="12"/>
      <c r="D47" s="471"/>
      <c r="E47" s="40"/>
      <c r="F47" s="45"/>
      <c r="G47" s="46"/>
      <c r="H47" s="12"/>
      <c r="I47" s="7"/>
    </row>
    <row r="48" spans="2:18" ht="18" x14ac:dyDescent="0.45">
      <c r="B48" s="7"/>
      <c r="C48" s="12"/>
      <c r="D48" s="9"/>
      <c r="E48" s="40"/>
      <c r="F48" s="12"/>
      <c r="G48" s="12"/>
      <c r="H48" s="12"/>
      <c r="I48" s="7"/>
    </row>
    <row r="49" spans="5:5" ht="15" x14ac:dyDescent="0.25">
      <c r="E49" s="40"/>
    </row>
    <row r="50" spans="5:5" ht="15" x14ac:dyDescent="0.25">
      <c r="E50" s="40"/>
    </row>
  </sheetData>
  <mergeCells count="8">
    <mergeCell ref="G27:G28"/>
    <mergeCell ref="H27:H28"/>
    <mergeCell ref="I27:I28"/>
    <mergeCell ref="E4:F5"/>
    <mergeCell ref="B27:B28"/>
    <mergeCell ref="C27:D28"/>
    <mergeCell ref="E27:E28"/>
    <mergeCell ref="F27:F28"/>
  </mergeCells>
  <conditionalFormatting sqref="H29:H38">
    <cfRule type="cellIs" dxfId="6" priority="1" operator="lessThan">
      <formula>0</formula>
    </cfRule>
    <cfRule type="cellIs" dxfId="5" priority="2" operator="greaterThan">
      <formula>0</formula>
    </cfRule>
  </conditionalFormatting>
  <pageMargins left="0.7" right="0.7" top="0.75" bottom="0.75" header="0.3" footer="0.3"/>
  <pageSetup paperSize="9" scale="30" fitToHeight="0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2903-977D-45DA-9AC7-0E5F97125318}">
  <sheetPr>
    <tabColor rgb="FF00B050"/>
    <pageSetUpPr fitToPage="1"/>
  </sheetPr>
  <dimension ref="B1:R41"/>
  <sheetViews>
    <sheetView zoomScale="70" zoomScaleNormal="70" workbookViewId="0">
      <selection activeCell="H6" sqref="H6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  <col min="13" max="13" width="12.296875" customWidth="1"/>
    <col min="14" max="17" width="19.296875" customWidth="1"/>
    <col min="18" max="18" width="27.09765625" customWidth="1"/>
  </cols>
  <sheetData>
    <row r="1" spans="2:17" ht="22.2" x14ac:dyDescent="0.35">
      <c r="B1" s="14" t="s">
        <v>0</v>
      </c>
      <c r="C1" s="2" t="s">
        <v>21</v>
      </c>
      <c r="D1" s="2"/>
      <c r="E1" s="2"/>
      <c r="F1" s="3"/>
      <c r="G1" s="3"/>
      <c r="H1" s="146" t="s">
        <v>1</v>
      </c>
      <c r="I1" s="147">
        <v>45931</v>
      </c>
    </row>
    <row r="2" spans="2:17" ht="22.8" x14ac:dyDescent="0.55000000000000004">
      <c r="B2" s="4" t="s">
        <v>2</v>
      </c>
      <c r="C2" s="5" t="s">
        <v>87</v>
      </c>
      <c r="D2" s="5"/>
      <c r="E2" s="5"/>
      <c r="F2" s="3"/>
      <c r="G2" s="3"/>
      <c r="H2" s="146" t="s">
        <v>3</v>
      </c>
      <c r="I2" s="148"/>
      <c r="N2" s="155" t="s">
        <v>80</v>
      </c>
      <c r="O2" s="155" t="s">
        <v>81</v>
      </c>
      <c r="P2" s="155" t="s">
        <v>82</v>
      </c>
      <c r="Q2" s="155" t="s">
        <v>83</v>
      </c>
    </row>
    <row r="3" spans="2:17" ht="22.2" x14ac:dyDescent="0.55000000000000004">
      <c r="B3" s="4" t="s">
        <v>74</v>
      </c>
      <c r="C3" s="145" t="str">
        <f>C18</f>
        <v>JPP-2500/001</v>
      </c>
      <c r="D3" s="6"/>
      <c r="E3" s="6"/>
      <c r="F3" s="7"/>
      <c r="G3" s="7"/>
      <c r="H3" s="7"/>
      <c r="I3" s="7"/>
      <c r="M3" t="s">
        <v>84</v>
      </c>
      <c r="N3" t="s">
        <v>85</v>
      </c>
    </row>
    <row r="4" spans="2:17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0.2</v>
      </c>
      <c r="N4" t="s">
        <v>86</v>
      </c>
    </row>
    <row r="5" spans="2:17" ht="22.2" x14ac:dyDescent="0.55000000000000004">
      <c r="B5" s="4" t="s">
        <v>7</v>
      </c>
      <c r="C5" s="11">
        <f>C19</f>
        <v>330000</v>
      </c>
      <c r="D5" s="9"/>
      <c r="E5" s="556"/>
      <c r="F5" s="556"/>
      <c r="G5" s="3"/>
      <c r="H5" s="7"/>
      <c r="I5" s="7"/>
    </row>
    <row r="6" spans="2:17" ht="26.4" x14ac:dyDescent="0.55000000000000004">
      <c r="B6" s="4" t="s">
        <v>8</v>
      </c>
      <c r="C6" s="11">
        <f>F31</f>
        <v>325000</v>
      </c>
      <c r="D6" s="12"/>
      <c r="E6" s="13"/>
      <c r="F6" s="10"/>
      <c r="G6" s="3"/>
      <c r="H6" s="7"/>
      <c r="I6" s="7"/>
      <c r="M6" t="s">
        <v>7</v>
      </c>
      <c r="N6" s="158">
        <v>2254569.98</v>
      </c>
      <c r="O6" s="149"/>
      <c r="P6" s="158">
        <v>397867.06</v>
      </c>
      <c r="Q6" s="158">
        <v>513604.21</v>
      </c>
    </row>
    <row r="7" spans="2:17" ht="22.2" x14ac:dyDescent="0.55000000000000004">
      <c r="B7" s="15" t="s">
        <v>9</v>
      </c>
      <c r="C7" s="16">
        <f>(C5-C6)/C5</f>
        <v>1.5151515151515152E-2</v>
      </c>
      <c r="D7" s="15" t="s">
        <v>10</v>
      </c>
      <c r="E7" s="17">
        <v>1</v>
      </c>
      <c r="F7" s="18"/>
      <c r="G7" s="18"/>
      <c r="H7" s="18"/>
      <c r="I7" s="18"/>
      <c r="N7" s="158">
        <v>265430.02</v>
      </c>
      <c r="O7" s="149"/>
      <c r="P7" s="149"/>
      <c r="Q7" s="149"/>
    </row>
    <row r="8" spans="2:17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  <c r="N8" s="149"/>
      <c r="O8" s="149"/>
      <c r="P8" s="149"/>
      <c r="Q8" s="149"/>
    </row>
    <row r="9" spans="2:17" ht="30" customHeight="1" x14ac:dyDescent="0.25">
      <c r="B9" s="431"/>
      <c r="C9" s="54" t="s">
        <v>338</v>
      </c>
      <c r="D9" s="432">
        <v>20</v>
      </c>
      <c r="E9" s="54" t="s">
        <v>339</v>
      </c>
      <c r="F9" s="54"/>
      <c r="G9" s="56">
        <f>325000*0.2</f>
        <v>65000</v>
      </c>
      <c r="H9" s="433" t="s">
        <v>17</v>
      </c>
      <c r="I9" s="439">
        <v>45936</v>
      </c>
      <c r="N9" s="149"/>
      <c r="O9" s="149"/>
      <c r="P9" s="149"/>
      <c r="Q9" s="149"/>
    </row>
    <row r="10" spans="2:17" ht="30" customHeight="1" x14ac:dyDescent="0.25">
      <c r="B10" s="434"/>
      <c r="C10" s="435"/>
      <c r="D10" s="432"/>
      <c r="E10" s="435"/>
      <c r="F10" s="435"/>
      <c r="G10" s="436"/>
      <c r="H10" s="433"/>
      <c r="I10" s="72"/>
      <c r="N10" s="149"/>
      <c r="O10" s="149"/>
      <c r="P10" s="149"/>
      <c r="Q10" s="149"/>
    </row>
    <row r="11" spans="2:17" ht="30" customHeight="1" x14ac:dyDescent="0.25">
      <c r="B11" s="434"/>
      <c r="C11" s="435"/>
      <c r="D11" s="432"/>
      <c r="E11" s="435"/>
      <c r="F11" s="435"/>
      <c r="G11" s="436"/>
      <c r="H11" s="433"/>
      <c r="I11" s="72"/>
      <c r="N11" s="149"/>
      <c r="O11" s="149"/>
      <c r="P11" s="149"/>
      <c r="Q11" s="149"/>
    </row>
    <row r="12" spans="2:17" ht="30" customHeight="1" x14ac:dyDescent="0.25">
      <c r="B12" s="110"/>
      <c r="C12" s="435"/>
      <c r="D12" s="435"/>
      <c r="E12" s="435"/>
      <c r="F12" s="435"/>
      <c r="G12" s="437"/>
      <c r="H12" s="433"/>
      <c r="I12" s="438"/>
    </row>
    <row r="13" spans="2:17" ht="18" x14ac:dyDescent="0.45">
      <c r="B13" s="7"/>
      <c r="C13" s="12"/>
      <c r="D13" s="9"/>
      <c r="E13" s="9"/>
      <c r="F13" s="32" t="s">
        <v>18</v>
      </c>
      <c r="G13" s="33">
        <f>SUM(G9:G12)</f>
        <v>65000</v>
      </c>
      <c r="H13" s="12"/>
      <c r="I13" s="7"/>
    </row>
    <row r="14" spans="2:17" ht="18" x14ac:dyDescent="0.45">
      <c r="B14" s="7"/>
      <c r="C14" s="12"/>
      <c r="D14" s="9"/>
      <c r="E14" s="9"/>
      <c r="F14" s="34" t="s">
        <v>19</v>
      </c>
      <c r="G14" s="35">
        <f>$C$6-G13</f>
        <v>260000</v>
      </c>
      <c r="H14" s="12"/>
      <c r="I14" s="7"/>
    </row>
    <row r="15" spans="2:17" ht="18" x14ac:dyDescent="0.45">
      <c r="B15" s="7"/>
      <c r="C15" s="12"/>
      <c r="D15" s="9"/>
      <c r="E15" s="9"/>
      <c r="F15" s="12"/>
      <c r="G15" s="12"/>
      <c r="H15" s="12"/>
      <c r="I15" s="7"/>
    </row>
    <row r="16" spans="2:17" ht="18" x14ac:dyDescent="0.45">
      <c r="B16" s="7"/>
      <c r="C16" s="12"/>
      <c r="D16" s="9"/>
      <c r="E16" s="9"/>
      <c r="F16" s="36" t="s">
        <v>20</v>
      </c>
      <c r="G16" s="37">
        <f>G14/C6</f>
        <v>0.8</v>
      </c>
      <c r="H16" s="38"/>
      <c r="I16" s="7"/>
    </row>
    <row r="17" spans="2:18" ht="26.4" x14ac:dyDescent="0.55000000000000004">
      <c r="B17" s="4"/>
      <c r="C17" s="11"/>
      <c r="D17" s="9"/>
      <c r="E17" s="10"/>
      <c r="F17" s="10"/>
      <c r="G17" s="3"/>
      <c r="H17" s="7"/>
      <c r="I17" s="7"/>
    </row>
    <row r="18" spans="2:18" ht="26.4" x14ac:dyDescent="0.55000000000000004">
      <c r="B18" s="143" t="s">
        <v>79</v>
      </c>
      <c r="C18" s="144" t="str">
        <f>'All Job balance report'!B3</f>
        <v>JPP-2500/001</v>
      </c>
      <c r="D18" s="12"/>
      <c r="E18" s="13"/>
      <c r="F18" s="10"/>
      <c r="G18" s="3"/>
      <c r="H18" s="7"/>
      <c r="I18" s="7"/>
    </row>
    <row r="19" spans="2:18" ht="22.2" x14ac:dyDescent="0.55000000000000004">
      <c r="B19" s="82" t="s">
        <v>7</v>
      </c>
      <c r="C19" s="85">
        <f>'All Job balance report'!G3</f>
        <v>330000</v>
      </c>
      <c r="D19" s="15"/>
      <c r="E19" s="17"/>
      <c r="F19" s="18"/>
      <c r="G19" s="18"/>
      <c r="H19" s="18"/>
      <c r="I19" s="18"/>
    </row>
    <row r="20" spans="2:18" x14ac:dyDescent="0.25">
      <c r="B20" s="557" t="s">
        <v>23</v>
      </c>
      <c r="C20" s="557" t="s">
        <v>28</v>
      </c>
      <c r="D20" s="559"/>
      <c r="E20" s="555" t="s">
        <v>13</v>
      </c>
      <c r="F20" s="555" t="s">
        <v>54</v>
      </c>
      <c r="G20" s="555" t="s">
        <v>55</v>
      </c>
      <c r="H20" s="555" t="s">
        <v>56</v>
      </c>
      <c r="I20" s="555" t="s">
        <v>57</v>
      </c>
    </row>
    <row r="21" spans="2:18" ht="20.399999999999999" x14ac:dyDescent="0.35">
      <c r="B21" s="558"/>
      <c r="C21" s="558"/>
      <c r="D21" s="560"/>
      <c r="E21" s="555"/>
      <c r="F21" s="555"/>
      <c r="G21" s="555"/>
      <c r="H21" s="555"/>
      <c r="I21" s="555"/>
      <c r="N21" s="156" t="s">
        <v>80</v>
      </c>
      <c r="O21" s="156" t="s">
        <v>81</v>
      </c>
      <c r="P21" s="156" t="s">
        <v>82</v>
      </c>
      <c r="Q21" s="156" t="s">
        <v>83</v>
      </c>
    </row>
    <row r="22" spans="2:18" ht="20.399999999999999" x14ac:dyDescent="0.3">
      <c r="B22" s="73">
        <v>1</v>
      </c>
      <c r="C22" s="77">
        <v>10</v>
      </c>
      <c r="D22" s="77"/>
      <c r="E22" s="83" t="s">
        <v>25</v>
      </c>
      <c r="F22" s="100">
        <v>0</v>
      </c>
      <c r="G22" s="94">
        <f>SUMIF($D$9:$D$12,$C$22,$G$9:$G$12)</f>
        <v>0</v>
      </c>
      <c r="H22" s="96">
        <f>F22-G22</f>
        <v>0</v>
      </c>
      <c r="I22" s="84"/>
      <c r="N22" s="150">
        <f>1391385.86+550222.39</f>
        <v>1941608.25</v>
      </c>
      <c r="O22" s="157">
        <v>187326.21</v>
      </c>
      <c r="P22" s="154">
        <v>171283.81</v>
      </c>
      <c r="Q22" s="154">
        <v>229202.12</v>
      </c>
      <c r="R22" s="151">
        <f t="shared" ref="R22:R31" si="0">SUM(N22:Q22)</f>
        <v>2529420.39</v>
      </c>
    </row>
    <row r="23" spans="2:18" ht="20.399999999999999" x14ac:dyDescent="0.3">
      <c r="B23" s="74">
        <v>2</v>
      </c>
      <c r="C23" s="80">
        <v>20</v>
      </c>
      <c r="D23" s="80"/>
      <c r="E23" s="83" t="s">
        <v>26</v>
      </c>
      <c r="F23" s="100">
        <v>325000</v>
      </c>
      <c r="G23" s="94">
        <v>325000</v>
      </c>
      <c r="H23" s="96">
        <f t="shared" ref="H23:H30" si="1">F23-G23</f>
        <v>0</v>
      </c>
      <c r="I23" s="84"/>
      <c r="N23" s="150">
        <f>125499.72+40000-N26</f>
        <v>100499.72</v>
      </c>
      <c r="O23" s="157">
        <f>129657.59-O26</f>
        <v>79657.59</v>
      </c>
      <c r="P23" s="154">
        <f>119025.22-P26</f>
        <v>69025.22</v>
      </c>
      <c r="Q23" s="154">
        <f>145843.83-Q26</f>
        <v>115843.82999999999</v>
      </c>
      <c r="R23" s="151">
        <f t="shared" si="0"/>
        <v>365026.36</v>
      </c>
    </row>
    <row r="24" spans="2:18" ht="20.399999999999999" x14ac:dyDescent="0.3">
      <c r="B24" s="75">
        <v>3</v>
      </c>
      <c r="C24" s="80">
        <v>30</v>
      </c>
      <c r="D24" s="80"/>
      <c r="E24" s="83" t="s">
        <v>48</v>
      </c>
      <c r="F24" s="100">
        <v>0</v>
      </c>
      <c r="G24" s="94">
        <f>SUMIF($D$9:$D$12,$C$24,$G$9:$G$12)</f>
        <v>0</v>
      </c>
      <c r="H24" s="96">
        <f t="shared" si="1"/>
        <v>0</v>
      </c>
      <c r="I24" s="81"/>
      <c r="N24" s="150"/>
      <c r="O24" s="157"/>
      <c r="P24" s="154"/>
      <c r="Q24" s="154"/>
      <c r="R24" s="151">
        <f t="shared" si="0"/>
        <v>0</v>
      </c>
    </row>
    <row r="25" spans="2:18" ht="20.399999999999999" x14ac:dyDescent="0.3">
      <c r="B25" s="75">
        <v>4</v>
      </c>
      <c r="C25" s="80">
        <v>40</v>
      </c>
      <c r="D25" s="80"/>
      <c r="E25" s="83" t="s">
        <v>49</v>
      </c>
      <c r="F25" s="100">
        <v>0</v>
      </c>
      <c r="G25" s="94">
        <f>SUMIF($D$9:$D$12,$C$25,$G$9:$G$12)</f>
        <v>0</v>
      </c>
      <c r="H25" s="96">
        <f t="shared" si="1"/>
        <v>0</v>
      </c>
      <c r="I25" s="81"/>
      <c r="N25" s="150"/>
      <c r="O25" s="157"/>
      <c r="P25" s="154"/>
      <c r="Q25" s="154"/>
      <c r="R25" s="151">
        <f t="shared" si="0"/>
        <v>0</v>
      </c>
    </row>
    <row r="26" spans="2:18" ht="20.399999999999999" x14ac:dyDescent="0.3">
      <c r="B26" s="75">
        <v>5</v>
      </c>
      <c r="C26" s="80">
        <v>50</v>
      </c>
      <c r="D26" s="80"/>
      <c r="E26" s="83" t="s">
        <v>47</v>
      </c>
      <c r="F26" s="100">
        <v>0</v>
      </c>
      <c r="G26" s="94">
        <f>SUMIF($D$9:$D$12,$C$26,$G$9:$G$12)</f>
        <v>0</v>
      </c>
      <c r="H26" s="96">
        <f t="shared" si="1"/>
        <v>0</v>
      </c>
      <c r="I26" s="81"/>
      <c r="N26" s="150">
        <v>65000</v>
      </c>
      <c r="O26" s="157">
        <v>50000</v>
      </c>
      <c r="P26" s="154">
        <v>50000</v>
      </c>
      <c r="Q26" s="154">
        <v>30000</v>
      </c>
      <c r="R26" s="151">
        <f t="shared" si="0"/>
        <v>195000</v>
      </c>
    </row>
    <row r="27" spans="2:18" ht="20.399999999999999" x14ac:dyDescent="0.3">
      <c r="B27" s="76">
        <v>6</v>
      </c>
      <c r="C27" s="80">
        <v>60</v>
      </c>
      <c r="D27" s="80"/>
      <c r="E27" s="83" t="s">
        <v>51</v>
      </c>
      <c r="F27" s="100">
        <v>0</v>
      </c>
      <c r="G27" s="94">
        <f>SUMIF($D$9:$D$12,$C$27,$G$9:$G$12)</f>
        <v>0</v>
      </c>
      <c r="H27" s="96">
        <f t="shared" si="1"/>
        <v>0</v>
      </c>
      <c r="I27" s="81"/>
      <c r="N27" s="150"/>
      <c r="O27" s="150"/>
      <c r="P27" s="150"/>
      <c r="Q27" s="150"/>
      <c r="R27" s="151">
        <f t="shared" si="0"/>
        <v>0</v>
      </c>
    </row>
    <row r="28" spans="2:18" ht="20.399999999999999" x14ac:dyDescent="0.3">
      <c r="B28" s="76">
        <v>7</v>
      </c>
      <c r="C28" s="80">
        <v>70</v>
      </c>
      <c r="D28" s="80"/>
      <c r="E28" s="83" t="s">
        <v>52</v>
      </c>
      <c r="F28" s="100">
        <v>0</v>
      </c>
      <c r="G28" s="94">
        <f>SUMIF($D$9:$D$12,$C$28,$G$9:$G$12)</f>
        <v>0</v>
      </c>
      <c r="H28" s="96">
        <f t="shared" si="1"/>
        <v>0</v>
      </c>
      <c r="I28" s="81"/>
      <c r="N28" s="150"/>
      <c r="O28" s="150"/>
      <c r="P28" s="150"/>
      <c r="Q28" s="150"/>
      <c r="R28" s="151">
        <f t="shared" si="0"/>
        <v>0</v>
      </c>
    </row>
    <row r="29" spans="2:18" ht="20.399999999999999" x14ac:dyDescent="0.3">
      <c r="B29" s="76">
        <v>8</v>
      </c>
      <c r="C29" s="80">
        <v>80</v>
      </c>
      <c r="D29" s="80"/>
      <c r="E29" s="83" t="s">
        <v>53</v>
      </c>
      <c r="F29" s="100">
        <v>0</v>
      </c>
      <c r="G29" s="94">
        <f>SUMIF($D$9:$D$12,$C$29,$G$9:$G$12)</f>
        <v>0</v>
      </c>
      <c r="H29" s="96">
        <f t="shared" ref="H29" si="2">F29-G29</f>
        <v>0</v>
      </c>
      <c r="I29" s="81"/>
      <c r="N29" s="150"/>
      <c r="O29" s="150"/>
      <c r="P29" s="150"/>
      <c r="Q29" s="150"/>
      <c r="R29" s="151">
        <f t="shared" ref="R29" si="3">SUM(N29:Q29)</f>
        <v>0</v>
      </c>
    </row>
    <row r="30" spans="2:18" ht="20.399999999999999" x14ac:dyDescent="0.3">
      <c r="B30" s="76">
        <v>9</v>
      </c>
      <c r="C30" s="80">
        <v>90</v>
      </c>
      <c r="D30" s="80"/>
      <c r="E30" s="83" t="s">
        <v>369</v>
      </c>
      <c r="F30" s="100">
        <v>0</v>
      </c>
      <c r="G30" s="94">
        <f>SUMIF($D$9:$D$12,$C$30,$G$9:$G$12)</f>
        <v>0</v>
      </c>
      <c r="H30" s="96">
        <f t="shared" si="1"/>
        <v>0</v>
      </c>
      <c r="I30" s="81"/>
      <c r="N30" s="150"/>
      <c r="O30" s="150"/>
      <c r="P30" s="150"/>
      <c r="Q30" s="150"/>
      <c r="R30" s="151">
        <f t="shared" si="0"/>
        <v>0</v>
      </c>
    </row>
    <row r="31" spans="2:18" ht="20.399999999999999" x14ac:dyDescent="0.35">
      <c r="B31" s="89"/>
      <c r="C31" s="90"/>
      <c r="D31" s="90"/>
      <c r="E31" s="91" t="s">
        <v>59</v>
      </c>
      <c r="F31" s="92">
        <f>SUM(F22:F30)</f>
        <v>325000</v>
      </c>
      <c r="G31" s="92">
        <f>SUM(G22:G30)</f>
        <v>325000</v>
      </c>
      <c r="H31" s="97">
        <f>SUM(H22:H30)</f>
        <v>0</v>
      </c>
      <c r="I31" s="93"/>
      <c r="N31" s="150"/>
      <c r="O31" s="150"/>
      <c r="P31" s="150"/>
      <c r="Q31" s="150"/>
      <c r="R31" s="151">
        <f t="shared" si="0"/>
        <v>0</v>
      </c>
    </row>
    <row r="32" spans="2:18" ht="20.399999999999999" x14ac:dyDescent="0.35">
      <c r="B32" s="89"/>
      <c r="C32" s="90"/>
      <c r="D32" s="90"/>
      <c r="E32" s="91" t="s">
        <v>60</v>
      </c>
      <c r="F32" s="88">
        <f>((C19-F31)/C19)</f>
        <v>1.5151515151515152E-2</v>
      </c>
      <c r="G32" s="88"/>
      <c r="H32" s="93"/>
      <c r="I32" s="93"/>
    </row>
    <row r="33" spans="2:18" ht="21" thickBot="1" x14ac:dyDescent="0.4">
      <c r="B33" s="89"/>
      <c r="C33" s="90"/>
      <c r="D33" s="90"/>
      <c r="E33" s="91" t="s">
        <v>58</v>
      </c>
      <c r="F33" s="92">
        <f>F32*C19</f>
        <v>5000</v>
      </c>
      <c r="G33" s="92"/>
      <c r="H33" s="93"/>
      <c r="I33" s="93"/>
      <c r="N33" s="153">
        <f>SUM(N22:N32)</f>
        <v>2107107.9699999997</v>
      </c>
      <c r="O33" s="153">
        <f t="shared" ref="O33:Q33" si="4">SUM(O22:O32)</f>
        <v>316983.8</v>
      </c>
      <c r="P33" s="153">
        <f t="shared" si="4"/>
        <v>290309.03000000003</v>
      </c>
      <c r="Q33" s="153">
        <f t="shared" si="4"/>
        <v>375045.94999999995</v>
      </c>
      <c r="R33" s="151">
        <f>SUM(N33:Q33)</f>
        <v>3089446.75</v>
      </c>
    </row>
    <row r="34" spans="2:18" ht="22.8" thickTop="1" x14ac:dyDescent="0.35">
      <c r="B34" s="41"/>
      <c r="C34" s="40"/>
      <c r="D34" s="40"/>
      <c r="E34" s="91" t="s">
        <v>68</v>
      </c>
      <c r="F34" s="194">
        <f>C19-G31</f>
        <v>5000</v>
      </c>
      <c r="G34" s="95"/>
      <c r="H34" s="81"/>
      <c r="I34" s="81"/>
    </row>
    <row r="35" spans="2:18" ht="15" x14ac:dyDescent="0.25">
      <c r="B35" s="41"/>
      <c r="C35" s="40"/>
      <c r="D35" s="40"/>
      <c r="E35" s="40"/>
      <c r="F35" s="40"/>
      <c r="G35" s="42"/>
      <c r="H35" s="43"/>
      <c r="I35" s="43"/>
    </row>
    <row r="36" spans="2:18" ht="23.4" customHeight="1" x14ac:dyDescent="0.25">
      <c r="B36" s="41"/>
      <c r="C36" s="40"/>
      <c r="D36" s="40"/>
      <c r="E36" s="474" t="s">
        <v>423</v>
      </c>
      <c r="F36" s="472">
        <f>F34*0.25</f>
        <v>1250</v>
      </c>
      <c r="G36" s="42"/>
      <c r="H36" s="43"/>
      <c r="I36" s="43"/>
    </row>
    <row r="37" spans="2:18" ht="15" x14ac:dyDescent="0.25">
      <c r="B37" s="41"/>
      <c r="C37" s="40"/>
      <c r="D37" s="40"/>
      <c r="E37" s="40"/>
      <c r="F37" s="40"/>
      <c r="G37" s="42"/>
      <c r="H37" s="43"/>
      <c r="I37" s="43"/>
    </row>
    <row r="38" spans="2:18" ht="15" x14ac:dyDescent="0.25">
      <c r="B38" s="41"/>
      <c r="C38" s="40"/>
      <c r="D38" s="40"/>
      <c r="E38" s="40"/>
      <c r="F38" s="40"/>
      <c r="G38" s="42"/>
      <c r="H38" s="43"/>
      <c r="I38" s="43"/>
    </row>
    <row r="39" spans="2:18" ht="18" x14ac:dyDescent="0.45">
      <c r="B39" s="7"/>
      <c r="C39" s="12"/>
      <c r="D39" s="9"/>
      <c r="E39" s="9"/>
      <c r="F39" s="39"/>
      <c r="G39" s="44"/>
      <c r="H39" s="12"/>
      <c r="I39" s="7"/>
    </row>
    <row r="40" spans="2:18" ht="18" x14ac:dyDescent="0.45">
      <c r="B40" s="7"/>
      <c r="C40" s="12"/>
      <c r="D40" s="9"/>
      <c r="E40" s="9"/>
      <c r="F40" s="45"/>
      <c r="G40" s="46"/>
      <c r="H40" s="12"/>
      <c r="I40" s="7"/>
    </row>
    <row r="41" spans="2:18" ht="18" x14ac:dyDescent="0.45">
      <c r="B41" s="7"/>
      <c r="C41" s="12"/>
      <c r="D41" s="9"/>
      <c r="E41" s="9"/>
      <c r="F41" s="12"/>
      <c r="G41" s="12"/>
      <c r="H41" s="12"/>
      <c r="I41" s="7"/>
    </row>
  </sheetData>
  <mergeCells count="8">
    <mergeCell ref="H20:H21"/>
    <mergeCell ref="I20:I21"/>
    <mergeCell ref="E4:F5"/>
    <mergeCell ref="B20:B21"/>
    <mergeCell ref="C20:D21"/>
    <mergeCell ref="E20:E21"/>
    <mergeCell ref="F20:F21"/>
    <mergeCell ref="G20:G21"/>
  </mergeCells>
  <conditionalFormatting sqref="H22:H32">
    <cfRule type="cellIs" dxfId="4" priority="1" operator="lessThan">
      <formula>0</formula>
    </cfRule>
    <cfRule type="cellIs" dxfId="3" priority="2" operator="greaterThan">
      <formula>0</formula>
    </cfRule>
  </conditionalFormatting>
  <pageMargins left="0.7" right="0.7" top="0.75" bottom="0.75" header="0.3" footer="0.3"/>
  <pageSetup paperSize="9" scale="31" fitToHeight="0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3784-05FA-4C44-A602-7B5A0313AC00}">
  <sheetPr>
    <tabColor rgb="FF00B050"/>
    <pageSetUpPr fitToPage="1"/>
  </sheetPr>
  <dimension ref="B1:I53"/>
  <sheetViews>
    <sheetView topLeftCell="A32" zoomScale="72" zoomScaleNormal="72" zoomScaleSheetLayoutView="70" workbookViewId="0">
      <selection activeCell="F55" sqref="F55"/>
    </sheetView>
  </sheetViews>
  <sheetFormatPr defaultRowHeight="13.8" x14ac:dyDescent="0.25"/>
  <cols>
    <col min="2" max="2" width="26" style="1" customWidth="1"/>
    <col min="3" max="3" width="42.8984375" style="1" customWidth="1"/>
    <col min="4" max="4" width="17.5" style="1" customWidth="1"/>
    <col min="5" max="5" width="50.5" style="1" customWidth="1"/>
    <col min="6" max="6" width="38.09765625" style="1" customWidth="1"/>
    <col min="7" max="9" width="22.19921875" style="1" customWidth="1"/>
  </cols>
  <sheetData>
    <row r="1" spans="2:9" ht="22.2" x14ac:dyDescent="0.35">
      <c r="B1" s="14" t="s">
        <v>0</v>
      </c>
      <c r="C1" s="2" t="str">
        <f>'All Job balance report'!D2</f>
        <v>บริษัท  เป็นเอก เอ็นเนอร์จี เซฟวิ่ง  จำกัด</v>
      </c>
      <c r="D1" s="2"/>
      <c r="E1" s="2"/>
      <c r="F1" s="3"/>
      <c r="G1" s="3"/>
      <c r="H1" s="146" t="s">
        <v>1</v>
      </c>
      <c r="I1" s="147">
        <v>45934</v>
      </c>
    </row>
    <row r="2" spans="2:9" ht="22.2" x14ac:dyDescent="0.55000000000000004">
      <c r="B2" s="4" t="s">
        <v>2</v>
      </c>
      <c r="C2" s="5" t="str">
        <f>'All Job balance report'!F2</f>
        <v>เปลี่ยนหลอดไฟไฮเบย์ CP Warehouse</v>
      </c>
      <c r="D2" s="5"/>
      <c r="E2" s="5"/>
      <c r="F2" s="3"/>
      <c r="G2" s="3"/>
      <c r="H2" s="146" t="s">
        <v>3</v>
      </c>
      <c r="I2" s="148"/>
    </row>
    <row r="3" spans="2:9" ht="22.2" x14ac:dyDescent="0.55000000000000004">
      <c r="B3" s="4" t="s">
        <v>74</v>
      </c>
      <c r="C3" s="145" t="str">
        <f>C30</f>
        <v>PEK-2500/001</v>
      </c>
      <c r="D3" s="6"/>
      <c r="E3" s="6"/>
      <c r="F3" s="7"/>
      <c r="G3" s="7"/>
      <c r="H3" s="7"/>
      <c r="I3" s="7"/>
    </row>
    <row r="4" spans="2:9" ht="22.2" x14ac:dyDescent="0.55000000000000004">
      <c r="B4" s="4" t="s">
        <v>4</v>
      </c>
      <c r="C4" s="8"/>
      <c r="D4" s="9"/>
      <c r="E4" s="556" t="s">
        <v>5</v>
      </c>
      <c r="F4" s="556"/>
      <c r="G4" s="7"/>
      <c r="H4" s="98" t="s">
        <v>6</v>
      </c>
      <c r="I4" s="99">
        <v>0.3</v>
      </c>
    </row>
    <row r="5" spans="2:9" ht="22.2" x14ac:dyDescent="0.55000000000000004">
      <c r="B5" s="4" t="s">
        <v>7</v>
      </c>
      <c r="C5" s="11">
        <f>C31</f>
        <v>66000</v>
      </c>
      <c r="D5" s="9"/>
      <c r="E5" s="556"/>
      <c r="F5" s="556"/>
      <c r="G5" s="3"/>
      <c r="H5" s="7"/>
      <c r="I5" s="7"/>
    </row>
    <row r="6" spans="2:9" ht="26.4" x14ac:dyDescent="0.55000000000000004">
      <c r="B6" s="4" t="s">
        <v>8</v>
      </c>
      <c r="C6" s="11">
        <f>F43</f>
        <v>58500</v>
      </c>
      <c r="D6" s="12"/>
      <c r="E6" s="13"/>
      <c r="F6" s="10"/>
      <c r="G6" s="3"/>
      <c r="H6" s="7"/>
      <c r="I6" s="7"/>
    </row>
    <row r="7" spans="2:9" ht="22.2" x14ac:dyDescent="0.55000000000000004">
      <c r="B7" s="15" t="s">
        <v>9</v>
      </c>
      <c r="C7" s="16">
        <f>(C5-C6)/C5</f>
        <v>0.11363636363636363</v>
      </c>
      <c r="D7" s="15" t="s">
        <v>10</v>
      </c>
      <c r="E7" s="17">
        <v>1</v>
      </c>
      <c r="F7" s="18"/>
      <c r="G7" s="18"/>
      <c r="H7" s="18"/>
      <c r="I7" s="18"/>
    </row>
    <row r="8" spans="2:9" ht="18" x14ac:dyDescent="0.45">
      <c r="B8" s="19" t="s">
        <v>63</v>
      </c>
      <c r="C8" s="20" t="s">
        <v>11</v>
      </c>
      <c r="D8" s="21" t="s">
        <v>12</v>
      </c>
      <c r="E8" s="20" t="s">
        <v>13</v>
      </c>
      <c r="F8" s="20" t="s">
        <v>32</v>
      </c>
      <c r="G8" s="21" t="s">
        <v>14</v>
      </c>
      <c r="H8" s="19" t="s">
        <v>15</v>
      </c>
      <c r="I8" s="19" t="s">
        <v>16</v>
      </c>
    </row>
    <row r="9" spans="2:9" ht="17.399999999999999" x14ac:dyDescent="0.45">
      <c r="B9" s="68"/>
      <c r="C9" s="51"/>
      <c r="D9" s="51"/>
      <c r="E9" s="51"/>
      <c r="F9" s="51"/>
      <c r="G9" s="52"/>
      <c r="H9" s="69"/>
      <c r="I9" s="53"/>
    </row>
    <row r="10" spans="2:9" ht="26.4" customHeight="1" x14ac:dyDescent="0.6">
      <c r="B10" s="108"/>
      <c r="C10" s="54" t="s">
        <v>307</v>
      </c>
      <c r="D10" s="58">
        <v>10</v>
      </c>
      <c r="E10" s="54" t="s">
        <v>308</v>
      </c>
      <c r="F10" s="54" t="s">
        <v>309</v>
      </c>
      <c r="G10" s="56">
        <v>5667</v>
      </c>
      <c r="H10" s="59" t="s">
        <v>17</v>
      </c>
      <c r="I10" s="411">
        <v>45934</v>
      </c>
    </row>
    <row r="11" spans="2:9" ht="26.4" customHeight="1" x14ac:dyDescent="0.6">
      <c r="B11" s="109"/>
      <c r="C11" s="55" t="s">
        <v>310</v>
      </c>
      <c r="D11" s="58">
        <v>10</v>
      </c>
      <c r="E11" s="55" t="s">
        <v>311</v>
      </c>
      <c r="F11" s="55" t="s">
        <v>312</v>
      </c>
      <c r="G11" s="71">
        <v>3600</v>
      </c>
      <c r="H11" s="59" t="s">
        <v>17</v>
      </c>
      <c r="I11" s="411">
        <v>45934</v>
      </c>
    </row>
    <row r="12" spans="2:9" ht="26.4" customHeight="1" x14ac:dyDescent="0.6">
      <c r="B12" s="109"/>
      <c r="C12" s="55" t="s">
        <v>313</v>
      </c>
      <c r="D12" s="58">
        <v>10</v>
      </c>
      <c r="E12" s="55" t="s">
        <v>314</v>
      </c>
      <c r="F12" s="55"/>
      <c r="G12" s="71">
        <v>8550</v>
      </c>
      <c r="H12" s="59" t="s">
        <v>17</v>
      </c>
      <c r="I12" s="411">
        <v>45934</v>
      </c>
    </row>
    <row r="13" spans="2:9" ht="26.4" customHeight="1" x14ac:dyDescent="0.6">
      <c r="B13" s="109"/>
      <c r="C13" s="55" t="s">
        <v>329</v>
      </c>
      <c r="D13" s="58">
        <v>10</v>
      </c>
      <c r="E13" s="54" t="s">
        <v>330</v>
      </c>
      <c r="F13" s="54"/>
      <c r="G13" s="56">
        <v>765</v>
      </c>
      <c r="H13" s="59" t="s">
        <v>17</v>
      </c>
      <c r="I13" s="411">
        <v>45937</v>
      </c>
    </row>
    <row r="14" spans="2:9" ht="26.4" customHeight="1" x14ac:dyDescent="0.6">
      <c r="B14" s="109"/>
      <c r="C14" s="55" t="s">
        <v>329</v>
      </c>
      <c r="D14" s="58">
        <v>10</v>
      </c>
      <c r="E14" s="54" t="s">
        <v>331</v>
      </c>
      <c r="F14" s="54"/>
      <c r="G14" s="56">
        <v>3096</v>
      </c>
      <c r="H14" s="59" t="s">
        <v>17</v>
      </c>
      <c r="I14" s="411">
        <v>45937</v>
      </c>
    </row>
    <row r="15" spans="2:9" ht="26.4" customHeight="1" x14ac:dyDescent="0.6">
      <c r="B15" s="109"/>
      <c r="C15" s="55" t="s">
        <v>332</v>
      </c>
      <c r="D15" s="58">
        <v>10</v>
      </c>
      <c r="E15" s="54" t="s">
        <v>333</v>
      </c>
      <c r="F15" s="54"/>
      <c r="G15" s="56">
        <v>1819</v>
      </c>
      <c r="H15" s="59" t="s">
        <v>17</v>
      </c>
      <c r="I15" s="411">
        <v>45937</v>
      </c>
    </row>
    <row r="16" spans="2:9" ht="26.4" customHeight="1" x14ac:dyDescent="0.6">
      <c r="B16" s="109"/>
      <c r="C16" s="55" t="s">
        <v>334</v>
      </c>
      <c r="D16" s="58">
        <v>90</v>
      </c>
      <c r="E16" s="54" t="s">
        <v>335</v>
      </c>
      <c r="F16" s="429" t="s">
        <v>337</v>
      </c>
      <c r="G16" s="56">
        <v>365</v>
      </c>
      <c r="H16" s="59" t="s">
        <v>17</v>
      </c>
      <c r="I16" s="411">
        <v>45937</v>
      </c>
    </row>
    <row r="17" spans="2:9" ht="26.4" customHeight="1" x14ac:dyDescent="0.6">
      <c r="B17" s="109"/>
      <c r="C17" s="55" t="s">
        <v>334</v>
      </c>
      <c r="D17" s="58">
        <v>90</v>
      </c>
      <c r="E17" s="54" t="s">
        <v>335</v>
      </c>
      <c r="F17" s="429" t="s">
        <v>337</v>
      </c>
      <c r="G17" s="56">
        <v>392</v>
      </c>
      <c r="H17" s="59" t="s">
        <v>17</v>
      </c>
      <c r="I17" s="411">
        <v>45937</v>
      </c>
    </row>
    <row r="18" spans="2:9" ht="26.4" customHeight="1" x14ac:dyDescent="0.6">
      <c r="B18" s="109"/>
      <c r="C18" s="55" t="s">
        <v>334</v>
      </c>
      <c r="D18" s="58">
        <v>90</v>
      </c>
      <c r="E18" s="54" t="s">
        <v>335</v>
      </c>
      <c r="F18" s="429" t="s">
        <v>337</v>
      </c>
      <c r="G18" s="56">
        <v>380</v>
      </c>
      <c r="H18" s="59" t="s">
        <v>17</v>
      </c>
      <c r="I18" s="411">
        <v>45937</v>
      </c>
    </row>
    <row r="19" spans="2:9" ht="26.4" customHeight="1" x14ac:dyDescent="0.6">
      <c r="B19" s="109"/>
      <c r="C19" s="55" t="s">
        <v>353</v>
      </c>
      <c r="D19" s="58">
        <v>10</v>
      </c>
      <c r="E19" s="54" t="s">
        <v>341</v>
      </c>
      <c r="F19" s="54"/>
      <c r="G19" s="56">
        <v>1568.64</v>
      </c>
      <c r="H19" s="59" t="s">
        <v>17</v>
      </c>
      <c r="I19" s="411">
        <v>45938</v>
      </c>
    </row>
    <row r="20" spans="2:9" ht="26.4" customHeight="1" x14ac:dyDescent="0.6">
      <c r="B20" s="109"/>
      <c r="C20" s="55" t="s">
        <v>354</v>
      </c>
      <c r="D20" s="58">
        <v>90</v>
      </c>
      <c r="E20" s="54" t="s">
        <v>343</v>
      </c>
      <c r="F20" s="429" t="s">
        <v>337</v>
      </c>
      <c r="G20" s="56">
        <v>300</v>
      </c>
      <c r="H20" s="59" t="s">
        <v>17</v>
      </c>
      <c r="I20" s="411">
        <v>45938</v>
      </c>
    </row>
    <row r="21" spans="2:9" ht="26.4" customHeight="1" x14ac:dyDescent="0.6">
      <c r="B21" s="109"/>
      <c r="C21" s="55" t="s">
        <v>340</v>
      </c>
      <c r="D21" s="58">
        <v>20</v>
      </c>
      <c r="E21" s="54" t="s">
        <v>315</v>
      </c>
      <c r="F21" s="54"/>
      <c r="G21" s="56">
        <v>2500</v>
      </c>
      <c r="H21" s="59" t="s">
        <v>17</v>
      </c>
      <c r="I21" s="411">
        <v>45938</v>
      </c>
    </row>
    <row r="22" spans="2:9" ht="26.4" customHeight="1" x14ac:dyDescent="0.6">
      <c r="B22" s="109"/>
      <c r="C22" s="55" t="s">
        <v>316</v>
      </c>
      <c r="D22" s="58">
        <v>20</v>
      </c>
      <c r="E22" s="54" t="s">
        <v>315</v>
      </c>
      <c r="F22" s="54"/>
      <c r="G22" s="56">
        <v>32300</v>
      </c>
      <c r="H22" s="59" t="s">
        <v>17</v>
      </c>
      <c r="I22" s="430" t="s">
        <v>342</v>
      </c>
    </row>
    <row r="23" spans="2:9" ht="23.4" x14ac:dyDescent="0.6">
      <c r="B23" s="109"/>
      <c r="C23" s="55" t="s">
        <v>336</v>
      </c>
      <c r="D23" s="58">
        <v>50</v>
      </c>
      <c r="E23" s="54" t="s">
        <v>336</v>
      </c>
      <c r="F23" s="429" t="s">
        <v>337</v>
      </c>
      <c r="G23" s="56">
        <v>350</v>
      </c>
      <c r="H23" s="59" t="s">
        <v>17</v>
      </c>
      <c r="I23" s="411">
        <v>45940</v>
      </c>
    </row>
    <row r="24" spans="2:9" ht="28.8" customHeight="1" x14ac:dyDescent="0.6">
      <c r="B24" s="107"/>
      <c r="C24" s="55" t="s">
        <v>354</v>
      </c>
      <c r="D24" s="58">
        <v>90</v>
      </c>
      <c r="E24" s="54" t="s">
        <v>343</v>
      </c>
      <c r="F24" s="429" t="s">
        <v>337</v>
      </c>
      <c r="G24" s="56">
        <v>506</v>
      </c>
      <c r="H24" s="59" t="s">
        <v>17</v>
      </c>
      <c r="I24" s="411">
        <v>45940</v>
      </c>
    </row>
    <row r="25" spans="2:9" ht="18" x14ac:dyDescent="0.45">
      <c r="B25" s="7"/>
      <c r="C25" s="12"/>
      <c r="D25" s="9"/>
      <c r="E25" s="9"/>
      <c r="F25" s="32" t="s">
        <v>18</v>
      </c>
      <c r="G25" s="33">
        <f>SUM(G9:G24)</f>
        <v>62158.64</v>
      </c>
      <c r="H25" s="12"/>
      <c r="I25" s="7"/>
    </row>
    <row r="26" spans="2:9" ht="18" x14ac:dyDescent="0.45">
      <c r="B26" s="7"/>
      <c r="C26" s="12"/>
      <c r="D26" s="9"/>
      <c r="E26" s="9"/>
      <c r="F26" s="450" t="s">
        <v>19</v>
      </c>
      <c r="G26" s="451">
        <f>$C$6-G25</f>
        <v>-3658.6399999999994</v>
      </c>
      <c r="H26" s="12"/>
      <c r="I26" s="7"/>
    </row>
    <row r="27" spans="2:9" ht="22.8" customHeight="1" x14ac:dyDescent="0.45">
      <c r="B27" s="7"/>
      <c r="C27" s="12"/>
      <c r="D27" s="9"/>
      <c r="E27" s="9"/>
      <c r="F27" s="452" t="s">
        <v>371</v>
      </c>
      <c r="G27" s="453">
        <v>66000</v>
      </c>
      <c r="H27" s="12"/>
      <c r="I27" s="7"/>
    </row>
    <row r="28" spans="2:9" ht="18" x14ac:dyDescent="0.45">
      <c r="B28" s="7"/>
      <c r="C28" s="12"/>
      <c r="D28" s="9"/>
      <c r="E28" s="9"/>
      <c r="F28" s="36" t="s">
        <v>20</v>
      </c>
      <c r="G28" s="37">
        <f>G26/C6</f>
        <v>-6.2540854700854687E-2</v>
      </c>
      <c r="H28" s="38"/>
      <c r="I28" s="7"/>
    </row>
    <row r="29" spans="2:9" ht="26.4" x14ac:dyDescent="0.55000000000000004">
      <c r="B29" s="4"/>
      <c r="C29" s="11"/>
      <c r="D29" s="9"/>
      <c r="E29" s="10"/>
      <c r="F29" s="10"/>
      <c r="G29" s="3"/>
      <c r="H29" s="7"/>
      <c r="I29" s="7"/>
    </row>
    <row r="30" spans="2:9" ht="26.4" x14ac:dyDescent="0.55000000000000004">
      <c r="B30" s="143" t="s">
        <v>79</v>
      </c>
      <c r="C30" s="144" t="str">
        <f>'All Job balance report'!B2</f>
        <v>PEK-2500/001</v>
      </c>
      <c r="D30" s="12"/>
      <c r="E30" s="13"/>
      <c r="F30" s="10"/>
      <c r="G30" s="3"/>
      <c r="H30" s="7"/>
      <c r="I30" s="7"/>
    </row>
    <row r="31" spans="2:9" ht="22.2" x14ac:dyDescent="0.55000000000000004">
      <c r="B31" s="82" t="s">
        <v>7</v>
      </c>
      <c r="C31" s="85">
        <f>'All Job balance report'!G2</f>
        <v>66000</v>
      </c>
      <c r="D31" s="15"/>
      <c r="E31" s="17"/>
      <c r="F31" s="18"/>
      <c r="G31" s="18"/>
      <c r="H31" s="18"/>
      <c r="I31" s="18"/>
    </row>
    <row r="32" spans="2:9" x14ac:dyDescent="0.25">
      <c r="B32" s="557" t="s">
        <v>23</v>
      </c>
      <c r="C32" s="557" t="s">
        <v>28</v>
      </c>
      <c r="D32" s="559"/>
      <c r="E32" s="555" t="s">
        <v>13</v>
      </c>
      <c r="F32" s="555" t="s">
        <v>54</v>
      </c>
      <c r="G32" s="555" t="s">
        <v>55</v>
      </c>
      <c r="H32" s="555" t="s">
        <v>56</v>
      </c>
      <c r="I32" s="555" t="s">
        <v>57</v>
      </c>
    </row>
    <row r="33" spans="2:9" x14ac:dyDescent="0.25">
      <c r="B33" s="558"/>
      <c r="C33" s="558"/>
      <c r="D33" s="560"/>
      <c r="E33" s="555"/>
      <c r="F33" s="555"/>
      <c r="G33" s="555"/>
      <c r="H33" s="555"/>
      <c r="I33" s="555"/>
    </row>
    <row r="34" spans="2:9" ht="20.399999999999999" x14ac:dyDescent="0.3">
      <c r="B34" s="73">
        <v>1</v>
      </c>
      <c r="C34" s="77">
        <v>10</v>
      </c>
      <c r="D34" s="77"/>
      <c r="E34" s="83" t="s">
        <v>25</v>
      </c>
      <c r="F34" s="100">
        <v>23000</v>
      </c>
      <c r="G34" s="94">
        <f>SUMIF($D$10:$D$24,$C$34,$G$10:$G$24)</f>
        <v>25065.64</v>
      </c>
      <c r="H34" s="96">
        <f>F34-G34</f>
        <v>-2065.6399999999994</v>
      </c>
      <c r="I34" s="84"/>
    </row>
    <row r="35" spans="2:9" ht="20.399999999999999" x14ac:dyDescent="0.3">
      <c r="B35" s="74">
        <v>2</v>
      </c>
      <c r="C35" s="80">
        <v>20</v>
      </c>
      <c r="D35" s="80"/>
      <c r="E35" s="83" t="s">
        <v>26</v>
      </c>
      <c r="F35" s="100">
        <v>33000</v>
      </c>
      <c r="G35" s="94">
        <f>SUMIF($D$10:$D$24,$C$35,$G$10:$G$24)</f>
        <v>34800</v>
      </c>
      <c r="H35" s="96">
        <f t="shared" ref="H35:H42" si="0">F35-G35</f>
        <v>-1800</v>
      </c>
      <c r="I35" s="84"/>
    </row>
    <row r="36" spans="2:9" ht="20.399999999999999" x14ac:dyDescent="0.3">
      <c r="B36" s="75">
        <v>3</v>
      </c>
      <c r="C36" s="80">
        <v>30</v>
      </c>
      <c r="D36" s="80"/>
      <c r="E36" s="83" t="s">
        <v>48</v>
      </c>
      <c r="F36" s="100">
        <v>0</v>
      </c>
      <c r="G36" s="94">
        <f>SUMIF($D$10:$D$24,$C$36,$G$10:$G$24)</f>
        <v>0</v>
      </c>
      <c r="H36" s="96">
        <f t="shared" si="0"/>
        <v>0</v>
      </c>
      <c r="I36" s="81"/>
    </row>
    <row r="37" spans="2:9" ht="20.399999999999999" x14ac:dyDescent="0.3">
      <c r="B37" s="75">
        <v>4</v>
      </c>
      <c r="C37" s="80">
        <v>40</v>
      </c>
      <c r="D37" s="80"/>
      <c r="E37" s="83" t="s">
        <v>49</v>
      </c>
      <c r="F37" s="100">
        <v>0</v>
      </c>
      <c r="G37" s="94">
        <f>SUMIF($D$10:$D$24,$C$37,$G$10:$G$24)</f>
        <v>0</v>
      </c>
      <c r="H37" s="96">
        <f t="shared" si="0"/>
        <v>0</v>
      </c>
      <c r="I37" s="81"/>
    </row>
    <row r="38" spans="2:9" ht="20.399999999999999" x14ac:dyDescent="0.3">
      <c r="B38" s="75">
        <v>5</v>
      </c>
      <c r="C38" s="80">
        <v>50</v>
      </c>
      <c r="D38" s="80"/>
      <c r="E38" s="83" t="s">
        <v>47</v>
      </c>
      <c r="F38" s="100">
        <v>2500</v>
      </c>
      <c r="G38" s="94">
        <f>SUMIF($D$10:$D$24,$C$38,$G$10:$G$24)</f>
        <v>350</v>
      </c>
      <c r="H38" s="96">
        <f t="shared" si="0"/>
        <v>2150</v>
      </c>
      <c r="I38" s="81"/>
    </row>
    <row r="39" spans="2:9" ht="20.399999999999999" x14ac:dyDescent="0.3">
      <c r="B39" s="76">
        <v>6</v>
      </c>
      <c r="C39" s="80">
        <v>60</v>
      </c>
      <c r="D39" s="80"/>
      <c r="E39" s="83" t="s">
        <v>51</v>
      </c>
      <c r="F39" s="100">
        <v>0</v>
      </c>
      <c r="G39" s="94">
        <f>SUMIF($D$10:$D$24,$C$39,$G$10:$G$24)</f>
        <v>0</v>
      </c>
      <c r="H39" s="96">
        <f t="shared" si="0"/>
        <v>0</v>
      </c>
      <c r="I39" s="81"/>
    </row>
    <row r="40" spans="2:9" ht="20.399999999999999" x14ac:dyDescent="0.3">
      <c r="B40" s="76">
        <v>7</v>
      </c>
      <c r="C40" s="80">
        <v>70</v>
      </c>
      <c r="D40" s="80"/>
      <c r="E40" s="83" t="s">
        <v>52</v>
      </c>
      <c r="F40" s="100">
        <v>0</v>
      </c>
      <c r="G40" s="94">
        <f>SUMIF($D$10:$D$24,$C$40,$G$10:$G$24)</f>
        <v>0</v>
      </c>
      <c r="H40" s="96">
        <f t="shared" si="0"/>
        <v>0</v>
      </c>
      <c r="I40" s="81"/>
    </row>
    <row r="41" spans="2:9" ht="20.399999999999999" x14ac:dyDescent="0.3">
      <c r="B41" s="76">
        <v>8</v>
      </c>
      <c r="C41" s="80">
        <v>80</v>
      </c>
      <c r="D41" s="80"/>
      <c r="E41" s="83" t="s">
        <v>53</v>
      </c>
      <c r="F41" s="100">
        <v>0</v>
      </c>
      <c r="G41" s="94">
        <f>SUMIF($D$10:$D$24,$C$41,$G$10:$G$24)</f>
        <v>0</v>
      </c>
      <c r="H41" s="96">
        <f t="shared" ref="H41" si="1">F41-G41</f>
        <v>0</v>
      </c>
      <c r="I41" s="81"/>
    </row>
    <row r="42" spans="2:9" ht="20.399999999999999" x14ac:dyDescent="0.3">
      <c r="B42" s="76">
        <v>9</v>
      </c>
      <c r="C42" s="80">
        <v>90</v>
      </c>
      <c r="D42" s="80"/>
      <c r="E42" s="83" t="s">
        <v>369</v>
      </c>
      <c r="F42" s="100">
        <v>0</v>
      </c>
      <c r="G42" s="94">
        <f>SUMIF($D$10:$D$24,$C$42,$G$10:$G$24)</f>
        <v>1943</v>
      </c>
      <c r="H42" s="96">
        <f t="shared" si="0"/>
        <v>-1943</v>
      </c>
      <c r="I42" s="81"/>
    </row>
    <row r="43" spans="2:9" ht="20.399999999999999" x14ac:dyDescent="0.35">
      <c r="B43" s="89"/>
      <c r="C43" s="90"/>
      <c r="D43" s="90"/>
      <c r="E43" s="91" t="s">
        <v>59</v>
      </c>
      <c r="F43" s="92">
        <f>SUM(F34:F42)</f>
        <v>58500</v>
      </c>
      <c r="G43" s="92">
        <f>SUM(G34:G42)</f>
        <v>62158.64</v>
      </c>
      <c r="H43" s="97">
        <f>SUM(H34:H42)</f>
        <v>-3658.6399999999994</v>
      </c>
      <c r="I43" s="93"/>
    </row>
    <row r="44" spans="2:9" ht="20.399999999999999" x14ac:dyDescent="0.35">
      <c r="B44" s="89"/>
      <c r="C44" s="90"/>
      <c r="D44" s="90"/>
      <c r="E44" s="91" t="s">
        <v>60</v>
      </c>
      <c r="F44" s="88">
        <f>((C31-F43)/C31)</f>
        <v>0.11363636363636363</v>
      </c>
      <c r="G44" s="88"/>
      <c r="H44" s="93"/>
      <c r="I44" s="93"/>
    </row>
    <row r="45" spans="2:9" ht="20.399999999999999" x14ac:dyDescent="0.35">
      <c r="B45" s="89"/>
      <c r="C45" s="90"/>
      <c r="D45" s="90"/>
      <c r="E45" s="91" t="s">
        <v>58</v>
      </c>
      <c r="F45" s="92">
        <f>F44*C31</f>
        <v>7500</v>
      </c>
      <c r="G45" s="92"/>
      <c r="H45" s="93"/>
      <c r="I45" s="93"/>
    </row>
    <row r="46" spans="2:9" ht="22.2" x14ac:dyDescent="0.35">
      <c r="B46" s="41"/>
      <c r="C46" s="40"/>
      <c r="D46" s="40"/>
      <c r="E46" s="91" t="s">
        <v>68</v>
      </c>
      <c r="F46" s="194">
        <f>C31-G43</f>
        <v>3841.3600000000006</v>
      </c>
      <c r="G46" s="95"/>
      <c r="H46" s="81"/>
      <c r="I46" s="81"/>
    </row>
    <row r="47" spans="2:9" ht="15" x14ac:dyDescent="0.25">
      <c r="B47" s="41"/>
      <c r="C47" s="40"/>
      <c r="D47" s="40"/>
      <c r="E47" s="40"/>
      <c r="F47" s="40"/>
      <c r="G47" s="42"/>
      <c r="H47" s="43"/>
      <c r="I47" s="43"/>
    </row>
    <row r="48" spans="2:9" ht="31.2" customHeight="1" x14ac:dyDescent="0.25">
      <c r="B48" s="41"/>
      <c r="C48" s="40"/>
      <c r="D48" s="40"/>
      <c r="E48" s="474" t="s">
        <v>423</v>
      </c>
      <c r="F48" s="472">
        <f>F46*0.25</f>
        <v>960.34000000000015</v>
      </c>
      <c r="G48" s="42"/>
      <c r="H48" s="43"/>
      <c r="I48" s="43"/>
    </row>
    <row r="49" spans="2:9" ht="15" x14ac:dyDescent="0.25">
      <c r="B49" s="41"/>
      <c r="C49" s="40"/>
      <c r="D49" s="40"/>
      <c r="E49" s="40"/>
      <c r="F49" s="40"/>
      <c r="G49" s="42"/>
      <c r="H49" s="43"/>
      <c r="I49" s="43"/>
    </row>
    <row r="50" spans="2:9" ht="15" x14ac:dyDescent="0.25">
      <c r="B50" s="41"/>
      <c r="C50" s="40"/>
      <c r="D50" s="40"/>
      <c r="E50" s="40"/>
      <c r="F50" s="40"/>
      <c r="G50" s="42"/>
      <c r="H50" s="43"/>
      <c r="I50" s="43"/>
    </row>
    <row r="51" spans="2:9" ht="18" x14ac:dyDescent="0.45">
      <c r="B51" s="7"/>
      <c r="C51" s="12"/>
      <c r="D51" s="9"/>
      <c r="E51" s="9"/>
      <c r="F51" s="39"/>
      <c r="G51" s="44"/>
      <c r="H51" s="12"/>
      <c r="I51" s="7"/>
    </row>
    <row r="52" spans="2:9" ht="18" x14ac:dyDescent="0.45">
      <c r="B52" s="7"/>
      <c r="C52" s="12"/>
      <c r="D52" s="9"/>
      <c r="E52" s="9"/>
      <c r="F52" s="45"/>
      <c r="G52" s="46"/>
      <c r="H52" s="12"/>
      <c r="I52" s="7"/>
    </row>
    <row r="53" spans="2:9" ht="18" x14ac:dyDescent="0.45">
      <c r="B53" s="7"/>
      <c r="C53" s="12"/>
      <c r="D53" s="9"/>
      <c r="E53" s="9"/>
      <c r="F53" s="12"/>
      <c r="G53" s="12"/>
      <c r="H53" s="12"/>
      <c r="I53" s="7"/>
    </row>
  </sheetData>
  <mergeCells count="8">
    <mergeCell ref="H32:H33"/>
    <mergeCell ref="I32:I33"/>
    <mergeCell ref="E4:F5"/>
    <mergeCell ref="B32:B33"/>
    <mergeCell ref="C32:D33"/>
    <mergeCell ref="E32:E33"/>
    <mergeCell ref="F32:F33"/>
    <mergeCell ref="G32:G33"/>
  </mergeCells>
  <conditionalFormatting sqref="H34:H43">
    <cfRule type="cellIs" dxfId="2" priority="1" operator="lessThan">
      <formula>0</formula>
    </cfRule>
    <cfRule type="cellIs" dxfId="1" priority="3" operator="greaterThan">
      <formula>0</formula>
    </cfRule>
  </conditionalFormatting>
  <conditionalFormatting sqref="H48">
    <cfRule type="cellIs" dxfId="0" priority="2" operator="lessThan">
      <formula>0</formula>
    </cfRule>
  </conditionalFormatting>
  <pageMargins left="0.7" right="0.7" top="0.75" bottom="0.75" header="0.3" footer="0.3"/>
  <pageSetup paperSize="9" scale="49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34</vt:i4>
      </vt:variant>
      <vt:variant>
        <vt:lpstr>ช่วงที่มีชื่อ</vt:lpstr>
      </vt:variant>
      <vt:variant>
        <vt:i4>1</vt:i4>
      </vt:variant>
    </vt:vector>
  </HeadingPairs>
  <TitlesOfParts>
    <vt:vector size="35" baseType="lpstr">
      <vt:lpstr>JPP Code </vt:lpstr>
      <vt:lpstr>Money forecast</vt:lpstr>
      <vt:lpstr>Project Onhand</vt:lpstr>
      <vt:lpstr>PC-009 BHP</vt:lpstr>
      <vt:lpstr>PC-008 JINHAI</vt:lpstr>
      <vt:lpstr>PC-007 บ้านลาดกระบัง</vt:lpstr>
      <vt:lpstr>XP-001 งานนครนายก</vt:lpstr>
      <vt:lpstr>MC-002 Udonthani</vt:lpstr>
      <vt:lpstr>PPC-001 Nestle</vt:lpstr>
      <vt:lpstr>PC-006 JOWLE</vt:lpstr>
      <vt:lpstr>PC-005 SHIN FONG</vt:lpstr>
      <vt:lpstr>PC-004 อาคาร D</vt:lpstr>
      <vt:lpstr>ค่าใช้จ่ายออฟฟิศ</vt:lpstr>
      <vt:lpstr>All Job balance report</vt:lpstr>
      <vt:lpstr>24 POM-007</vt:lpstr>
      <vt:lpstr>23 TMD-006</vt:lpstr>
      <vt:lpstr>22 TMD-005</vt:lpstr>
      <vt:lpstr>21 TMD-004</vt:lpstr>
      <vt:lpstr>20 SOL-264 02</vt:lpstr>
      <vt:lpstr>15 RACH36</vt:lpstr>
      <vt:lpstr>14 TMD-2601-003</vt:lpstr>
      <vt:lpstr>13 JPP-2601-001</vt:lpstr>
      <vt:lpstr>12 TMD-2601-002</vt:lpstr>
      <vt:lpstr>11 TMD-2601-001</vt:lpstr>
      <vt:lpstr>10 UNT-2601-001 รพ.ภัทรเวช (2)</vt:lpstr>
      <vt:lpstr>09 JEP-2601-001</vt:lpstr>
      <vt:lpstr>08 PKE-002 ติดตั้งพัดลมระบายอาก</vt:lpstr>
      <vt:lpstr>07 SUT-001 บ้านห้วยขวาง</vt:lpstr>
      <vt:lpstr>06 UNT-001 รพ.ภัทรเวช</vt:lpstr>
      <vt:lpstr>05 QMP-001งาน PM 315kVA</vt:lpstr>
      <vt:lpstr>04 PKE-001 ติดตั้งลากสาย RASA1</vt:lpstr>
      <vt:lpstr>03 TG-002 เปลี่ยน ACB</vt:lpstr>
      <vt:lpstr>02 JPP-001 งานชัยนาท</vt:lpstr>
      <vt:lpstr>01 PEK-001 Pen Eak</vt:lpstr>
      <vt:lpstr>'All Job balance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Kowit Kampeerah</dc:creator>
  <cp:lastModifiedBy>Phongsathorn Tom</cp:lastModifiedBy>
  <cp:lastPrinted>2026-05-06T12:05:33Z</cp:lastPrinted>
  <dcterms:created xsi:type="dcterms:W3CDTF">2025-03-19T03:43:26Z</dcterms:created>
  <dcterms:modified xsi:type="dcterms:W3CDTF">2026-07-20T02:27:20Z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0881fd-6629-447a-8b02-900e4398354a_Enabled">
    <vt:lpwstr>true</vt:lpwstr>
  </property>
  <property fmtid="{D5CDD505-2E9C-101B-9397-08002B2CF9AE}" pid="3" name="MSIP_Label_d80881fd-6629-447a-8b02-900e4398354a_SetDate">
    <vt:lpwstr>2026-06-01T06:03:20Z</vt:lpwstr>
  </property>
  <property fmtid="{D5CDD505-2E9C-101B-9397-08002B2CF9AE}" pid="4" name="MSIP_Label_d80881fd-6629-447a-8b02-900e4398354a_Method">
    <vt:lpwstr>Standard</vt:lpwstr>
  </property>
  <property fmtid="{D5CDD505-2E9C-101B-9397-08002B2CF9AE}" pid="5" name="MSIP_Label_d80881fd-6629-447a-8b02-900e4398354a_Name">
    <vt:lpwstr>General</vt:lpwstr>
  </property>
  <property fmtid="{D5CDD505-2E9C-101B-9397-08002B2CF9AE}" pid="6" name="MSIP_Label_d80881fd-6629-447a-8b02-900e4398354a_SiteId">
    <vt:lpwstr>d13bbbeb-78ed-4ce0-a599-480197b496ce</vt:lpwstr>
  </property>
  <property fmtid="{D5CDD505-2E9C-101B-9397-08002B2CF9AE}" pid="7" name="MSIP_Label_d80881fd-6629-447a-8b02-900e4398354a_ActionId">
    <vt:lpwstr>6b1de6be-f604-41cc-869f-d688db892a8d</vt:lpwstr>
  </property>
  <property fmtid="{D5CDD505-2E9C-101B-9397-08002B2CF9AE}" pid="8" name="MSIP_Label_d80881fd-6629-447a-8b02-900e4398354a_ContentBits">
    <vt:lpwstr>0</vt:lpwstr>
  </property>
  <property fmtid="{D5CDD505-2E9C-101B-9397-08002B2CF9AE}" pid="9" name="MSIP_Label_d80881fd-6629-447a-8b02-900e4398354a_Tag">
    <vt:lpwstr>10, 3, 0, 1</vt:lpwstr>
  </property>
</Properties>
</file>